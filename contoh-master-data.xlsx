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tunjuk" sheetId="1" state="visible" r:id="rId1"/>
    <sheet xmlns:r="http://schemas.openxmlformats.org/officeDocument/2006/relationships" name="company" sheetId="2" state="visible" r:id="rId2"/>
    <sheet xmlns:r="http://schemas.openxmlformats.org/officeDocument/2006/relationships" name="res.partner" sheetId="3" state="visible" r:id="rId3"/>
    <sheet xmlns:r="http://schemas.openxmlformats.org/officeDocument/2006/relationships" name="account.account" sheetId="4" state="visible" r:id="rId4"/>
    <sheet xmlns:r="http://schemas.openxmlformats.org/officeDocument/2006/relationships" name="account.journal" sheetId="5" state="visible" r:id="rId5"/>
    <sheet xmlns:r="http://schemas.openxmlformats.org/officeDocument/2006/relationships" name="kas_bank" sheetId="6" state="visible" r:id="rId6"/>
    <sheet xmlns:r="http://schemas.openxmlformats.org/officeDocument/2006/relationships" name="vendor_bill" sheetId="7" state="visible" r:id="rId7"/>
    <sheet xmlns:r="http://schemas.openxmlformats.org/officeDocument/2006/relationships" name="customer_invoice" sheetId="8" state="visible" r:id="rId8"/>
    <sheet xmlns:r="http://schemas.openxmlformats.org/officeDocument/2006/relationships" name="account.asset" sheetId="9" state="visible" r:id="rId9"/>
    <sheet xmlns:r="http://schemas.openxmlformats.org/officeDocument/2006/relationships" name="account.asset.model" sheetId="10" state="visible" r:id="rId10"/>
    <sheet xmlns:r="http://schemas.openxmlformats.org/officeDocument/2006/relationships" name="res.country.state" sheetId="11" state="visible" r:id="rId11"/>
    <sheet xmlns:r="http://schemas.openxmlformats.org/officeDocument/2006/relationships" name="account.account.account_type" sheetId="12" state="visible" r:id="rId12"/>
    <sheet xmlns:r="http://schemas.openxmlformats.org/officeDocument/2006/relationships" name="ir.model.fields.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rial"/>
      <color rgb="FF000000"/>
      <sz val="10"/>
      <scheme val="minor"/>
    </font>
    <font>
      <name val="Arial"/>
      <color theme="1"/>
    </font>
    <font>
      <name val="Arial"/>
      <color rgb="FF0000FF"/>
      <u val="single"/>
    </font>
    <font>
      <name val="Arial"/>
      <color rgb="FF434343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/>
    </xf>
    <xf numFmtId="0" fontId="3" fillId="4" borderId="4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3" borderId="5" applyAlignment="1" pivotButton="0" quotePrefix="0" xfId="0">
      <alignment vertical="center"/>
    </xf>
    <xf numFmtId="0" fontId="3" fillId="3" borderId="6" applyAlignment="1" pivotButton="0" quotePrefix="0" xfId="0">
      <alignment vertical="center" wrapText="1"/>
    </xf>
    <xf numFmtId="49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0" fontId="4" fillId="0" borderId="0" applyAlignment="1" pivotButton="0" quotePrefix="1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4" fontId="4" fillId="2" borderId="0" applyAlignment="1" pivotButton="0" quotePrefix="0" xfId="0">
      <alignment horizontal="left" vertical="center"/>
    </xf>
    <xf numFmtId="164" fontId="4" fillId="0" borderId="0" applyAlignment="1" pivotButton="0" quotePrefix="0" xfId="0">
      <alignment vertical="center"/>
    </xf>
    <xf numFmtId="3" fontId="4" fillId="0" borderId="0" pivotButton="0" quotePrefix="0" xfId="0"/>
    <xf numFmtId="49" fontId="4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2" defaultTableStyle="TableStyleMedium9" defaultPivotStyle="PivotStyleLight16">
    <tableStyle name="petunjuk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res.partner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ccount.accoun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ccount.journa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kas_bank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vendor_bil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ustomer_invoic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ccount.asse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ccount.asset.mode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res.country.stat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ccount.account.account_typ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ir.model.fields.selectio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petunjuk" displayName="petunjuk" ref="A1:B10" headerRowCount="1">
  <tableColumns count="2">
    <tableColumn id="1" name="sheet"/>
    <tableColumn id="2" name="keterangan"/>
  </tableColumns>
  <tableStyleInfo name="petunjuk-style" showFirstColumn="1" showLastColumn="1" showRowStripes="1" showColumnStripes="0"/>
</table>
</file>

<file path=xl/tables/table2.xml><?xml version="1.0" encoding="utf-8"?>
<table xmlns="http://schemas.openxmlformats.org/spreadsheetml/2006/main" id="2" name="res.partner" displayName="res.partner" ref="A1:J2" headerRowCount="1">
  <tableColumns count="10">
    <tableColumn id="1" name="id"/>
    <tableColumn id="2" name="name"/>
    <tableColumn id="3" name="email"/>
    <tableColumn id="4" name="phone"/>
    <tableColumn id="5" name="is_company"/>
    <tableColumn id="6" name="street"/>
    <tableColumn id="7" name="city"/>
    <tableColumn id="8" name="state"/>
    <tableColumn id="9" name="ref"/>
    <tableColumn id="10" name="country_id"/>
  </tableColumns>
  <tableStyleInfo name="res.partner-style" showFirstColumn="1" showLastColumn="1" showRowStripes="1" showColumnStripes="0"/>
</table>
</file>

<file path=xl/tables/table3.xml><?xml version="1.0" encoding="utf-8"?>
<table xmlns="http://schemas.openxmlformats.org/spreadsheetml/2006/main" id="3" name="account.account" displayName="account.account" ref="A1:N119" headerRowCount="1">
  <tableColumns count="14">
    <tableColumn id="1" name="id"/>
    <tableColumn id="2" name="urutan"/>
    <tableColumn id="3" name="code"/>
    <tableColumn id="4" name="name"/>
    <tableColumn id="5" name="account_type"/>
    <tableColumn id="6" name="opening_debit"/>
    <tableColumn id="7" name="opening_credit"/>
    <tableColumn id="8" name="account_type_level_2"/>
    <tableColumn id="9" name="account_type_level_3"/>
    <tableColumn id="10" name="code_name"/>
    <tableColumn id="11" name="original"/>
    <tableColumn id="12" name="active"/>
    <tableColumn id="13" name="original_name"/>
    <tableColumn id="14" name="description"/>
  </tableColumns>
  <tableStyleInfo name="account.account-style" showFirstColumn="1" showLastColumn="1" showRowStripes="1" showColumnStripes="0"/>
</table>
</file>

<file path=xl/tables/table4.xml><?xml version="1.0" encoding="utf-8"?>
<table xmlns="http://schemas.openxmlformats.org/spreadsheetml/2006/main" id="4" name="account.journal" displayName="account.journal" ref="A1:G4" headerRowCount="1">
  <tableColumns count="7">
    <tableColumn id="1" name="id"/>
    <tableColumn id="2" name="sequence"/>
    <tableColumn id="3" name="name"/>
    <tableColumn id="4" name="type"/>
    <tableColumn id="5" name="code"/>
    <tableColumn id="6" name="default_account_id"/>
    <tableColumn id="7" name="Bank Feed"/>
  </tableColumns>
  <tableStyleInfo name="account.journal-style" showFirstColumn="1" showLastColumn="1" showRowStripes="1" showColumnStripes="0"/>
</table>
</file>

<file path=xl/tables/table5.xml><?xml version="1.0" encoding="utf-8"?>
<table xmlns="http://schemas.openxmlformats.org/spreadsheetml/2006/main" id="5" name="kas_bank" displayName="kas_bank" ref="A1:H3" headerRowCount="1">
  <tableColumns count="8">
    <tableColumn id="1" name="id"/>
    <tableColumn id="2" name="Reference"/>
    <tableColumn id="3" name="date"/>
    <tableColumn id="4" name="journal"/>
    <tableColumn id="5" name="line_ids/account"/>
    <tableColumn id="6" name="line_ids/debit"/>
    <tableColumn id="7" name="line_ids/credit"/>
    <tableColumn id="8" name="line_ids/name"/>
  </tableColumns>
  <tableStyleInfo name="kas_bank-style" showFirstColumn="1" showLastColumn="1" showRowStripes="1" showColumnStripes="0"/>
</table>
</file>

<file path=xl/tables/table6.xml><?xml version="1.0" encoding="utf-8"?>
<table xmlns="http://schemas.openxmlformats.org/spreadsheetml/2006/main" id="6" name="vendor_bill" displayName="vendor_bill" ref="A1:J7" headerRowCount="1">
  <tableColumns count="10">
    <tableColumn id="1" name="id"/>
    <tableColumn id="2" name="Reference"/>
    <tableColumn id="3" name="date"/>
    <tableColumn id="4" name="journal"/>
    <tableColumn id="5" name="line_ids/account"/>
    <tableColumn id="6" name="line_ids/debit"/>
    <tableColumn id="7" name="line_ids/credit"/>
    <tableColumn id="8" name="line_ids/name"/>
    <tableColumn id="9" name="line_ids/partner"/>
    <tableColumn id="10" name="line_ids/date_maturity"/>
  </tableColumns>
  <tableStyleInfo name="vendor_bill-style" showFirstColumn="1" showLastColumn="1" showRowStripes="1" showColumnStripes="0"/>
</table>
</file>

<file path=xl/tables/table7.xml><?xml version="1.0" encoding="utf-8"?>
<table xmlns="http://schemas.openxmlformats.org/spreadsheetml/2006/main" id="7" name="customer_invoice" displayName="customer_invoice" ref="A1:J5" headerRowCount="1">
  <tableColumns count="10">
    <tableColumn id="1" name="id"/>
    <tableColumn id="2" name="Reference"/>
    <tableColumn id="3" name="date"/>
    <tableColumn id="4" name="journal"/>
    <tableColumn id="5" name="line_ids/account"/>
    <tableColumn id="6" name="line_ids/debit"/>
    <tableColumn id="7" name="line_ids/credit"/>
    <tableColumn id="8" name="line_ids/name"/>
    <tableColumn id="9" name="line_ids/partner"/>
    <tableColumn id="10" name="line_ids/date_maturity"/>
  </tableColumns>
  <tableStyleInfo name="customer_invoice-style" showFirstColumn="1" showLastColumn="1" showRowStripes="1" showColumnStripes="0"/>
</table>
</file>

<file path=xl/tables/table8.xml><?xml version="1.0" encoding="utf-8"?>
<table xmlns="http://schemas.openxmlformats.org/spreadsheetml/2006/main" id="8" name="account.asset" displayName="account.asset" ref="A1:K3" headerRowCount="1">
  <tableColumns count="11">
    <tableColumn id="1" name="id"/>
    <tableColumn id="2" name="name"/>
    <tableColumn id="3" name="acquisition_date"/>
    <tableColumn id="4" name="original_value"/>
    <tableColumn id="5" name="account_asset_id"/>
    <tableColumn id="6" name="account_depreciation_id"/>
    <tableColumn id="7" name="account_depreciation_expense_id"/>
    <tableColumn id="8" name="method_number"/>
    <tableColumn id="9" name="method_period"/>
    <tableColumn id="10" name="method"/>
    <tableColumn id="11" name="Jurnal"/>
  </tableColumns>
  <tableStyleInfo name="account.asset-style" showFirstColumn="1" showLastColumn="1" showRowStripes="1" showColumnStripes="0"/>
</table>
</file>

<file path=xl/tables/table9.xml><?xml version="1.0" encoding="utf-8"?>
<table xmlns="http://schemas.openxmlformats.org/spreadsheetml/2006/main" id="9" name="account.asset.model" displayName="account.asset.model" ref="A1:I4" headerRowCount="1">
  <tableColumns count="9">
    <tableColumn id="1" name="id"/>
    <tableColumn id="2" name="name"/>
    <tableColumn id="3" name="account_asset_id"/>
    <tableColumn id="4" name="account_depreciation_id"/>
    <tableColumn id="5" name="account_depreciation_expense_id"/>
    <tableColumn id="6" name="method"/>
    <tableColumn id="7" name="method_number"/>
    <tableColumn id="8" name="method_period"/>
    <tableColumn id="9" name="Jurnal"/>
  </tableColumns>
  <tableStyleInfo name="account.asset.model-style" showFirstColumn="1" showLastColumn="1" showRowStripes="1" showColumnStripes="0"/>
</table>
</file>

<file path=xl/tables/table10.xml><?xml version="1.0" encoding="utf-8"?>
<table xmlns="http://schemas.openxmlformats.org/spreadsheetml/2006/main" id="10" name="res.country.state" displayName="res.country.state" ref="A1:D39" headerRowCount="1">
  <tableColumns count="4">
    <tableColumn id="1" name="id"/>
    <tableColumn id="2" name="name"/>
    <tableColumn id="3" name="code"/>
    <tableColumn id="4" name="country_id"/>
  </tableColumns>
  <tableStyleInfo name="res.country.state-style" showFirstColumn="1" showLastColumn="1" showRowStripes="1" showColumnStripes="0"/>
</table>
</file>

<file path=xl/tables/table11.xml><?xml version="1.0" encoding="utf-8"?>
<table xmlns="http://schemas.openxmlformats.org/spreadsheetml/2006/main" id="11" name="account.account.account_type" displayName="account.account.account_type" ref="A1:F20" headerRowCount="1">
  <tableColumns count="6">
    <tableColumn id="1" name="name"/>
    <tableColumn id="2" name="npl"/>
    <tableColumn id="3" name="group"/>
    <tableColumn id="4" name="code"/>
    <tableColumn id="5" name="npl group name level 2"/>
    <tableColumn id="6" name="npl group name level 3"/>
  </tableColumns>
  <tableStyleInfo name="account.account.account_type-style" showFirstColumn="1" showLastColumn="1" showRowStripes="1" showColumnStripes="0"/>
</table>
</file>

<file path=xl/tables/table12.xml><?xml version="1.0" encoding="utf-8"?>
<table xmlns="http://schemas.openxmlformats.org/spreadsheetml/2006/main" id="12" name="ir.model.fields.selection" displayName="ir.model.fields.selection" ref="A1:E20" headerRowCount="1">
  <tableColumns count="5">
    <tableColumn id="1" name="id"/>
    <tableColumn id="2" name="sequence"/>
    <tableColumn id="3" name="field_id"/>
    <tableColumn id="4" name="value"/>
    <tableColumn id="5" name="name"/>
  </tableColumns>
  <tableStyleInfo name="ir.model.fields.selection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mauiiyk.sch.id" TargetMode="External" Id="rId1"/><Relationship Type="http://schemas.openxmlformats.org/officeDocument/2006/relationships/hyperlink" Target="https://smauiiyk.sch.id/wp-content/uploads/2025/06/BARU-scaled.png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4"/>
  <sheetViews>
    <sheetView workbookViewId="0">
      <selection activeCell="A1" sqref="A1"/>
    </sheetView>
  </sheetViews>
  <sheetFormatPr baseColWidth="8" defaultColWidth="12.63" defaultRowHeight="15.75" customHeight="1"/>
  <cols>
    <col width="47" customWidth="1" style="38" min="1" max="1"/>
    <col width="82.38" customWidth="1" style="38" min="2" max="2"/>
  </cols>
  <sheetData>
    <row r="1">
      <c r="A1" s="6" t="inlineStr">
        <is>
          <t>sheet</t>
        </is>
      </c>
      <c r="B1" s="7" t="inlineStr">
        <is>
          <t>keterangan</t>
        </is>
      </c>
    </row>
    <row r="2">
      <c r="A2" s="8" t="inlineStr">
        <is>
          <t>account.account</t>
        </is>
      </c>
      <c r="B2" s="12" t="inlineStr">
        <is>
          <t>ini untuk coa dan opening balance
kolom id isinya jangan diganti
kolom code dan name boleh diedit
kolom account_type boleh diganti dari daftar pilihan yang ada, tidak boleh membuat account_type baru
kolom code_name jangan diedit
boleh menambahkan account baru
account yang sudah ada jika tidak dipakai mohon jangan dihapus, tapi lakukan uncheck di kolom active</t>
        </is>
      </c>
    </row>
    <row r="3">
      <c r="A3" s="10" t="inlineStr">
        <is>
          <t>account.asset</t>
        </is>
      </c>
      <c r="B3" s="11" t="inlineStr">
        <is>
          <t>untuk aset</t>
        </is>
      </c>
    </row>
    <row r="4">
      <c r="A4" s="8" t="inlineStr">
        <is>
          <t>res.partner</t>
        </is>
      </c>
      <c r="B4" s="12" t="inlineStr">
        <is>
          <t>untuk list customer/vendor</t>
        </is>
      </c>
    </row>
    <row r="5">
      <c r="A5" s="10" t="inlineStr">
        <is>
          <t>customer.invoice</t>
        </is>
      </c>
      <c r="B5" s="11" t="inlineStr">
        <is>
          <t>untuk opening balance piutang dari customer</t>
        </is>
      </c>
    </row>
    <row r="6">
      <c r="A6" s="8" t="inlineStr">
        <is>
          <t>vendor.bill</t>
        </is>
      </c>
      <c r="B6" s="12" t="inlineStr">
        <is>
          <t>untuk opening balance hutang ke vendor</t>
        </is>
      </c>
    </row>
    <row r="7">
      <c r="A7" s="10" t="inlineStr">
        <is>
          <t>account.journal</t>
        </is>
      </c>
      <c r="B7" s="11" t="inlineStr">
        <is>
          <t>untuk klasifikasi journal, di skip dulu saja</t>
        </is>
      </c>
    </row>
    <row r="8">
      <c r="A8" s="8" t="inlineStr">
        <is>
          <t>res.country.state</t>
        </is>
      </c>
      <c r="B8" s="12" t="inlineStr">
        <is>
          <t>abaikan, hanya untuk referensi</t>
        </is>
      </c>
    </row>
    <row r="9">
      <c r="A9" s="10" t="inlineStr">
        <is>
          <t>account.account.account_type</t>
        </is>
      </c>
      <c r="B9" s="11" t="inlineStr">
        <is>
          <t>abaikan, hanya untuk referensi</t>
        </is>
      </c>
    </row>
    <row r="10">
      <c r="A10" s="15" t="inlineStr">
        <is>
          <t>ir.model.fields.selection</t>
        </is>
      </c>
      <c r="B10" s="16" t="inlineStr">
        <is>
          <t>abaikan, hanya untuk referensi</t>
        </is>
      </c>
    </row>
    <row r="11">
      <c r="A11" s="18" t="n"/>
      <c r="B11" s="19" t="n"/>
    </row>
    <row r="12">
      <c r="A12" s="18" t="inlineStr">
        <is>
          <t>mohon langsung diisikan di google sheet ini, tidak di download</t>
        </is>
      </c>
      <c r="B12" s="19" t="n"/>
    </row>
    <row r="13">
      <c r="A13" s="18" t="inlineStr">
        <is>
          <t>hanya diisikan untuk kolom yang berwarna biru</t>
        </is>
      </c>
      <c r="B13" s="19" t="n"/>
    </row>
    <row r="14">
      <c r="A14" s="18" t="n"/>
      <c r="B14" s="1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6"/>
  <sheetViews>
    <sheetView workbookViewId="0">
      <selection activeCell="A1" sqref="A1"/>
    </sheetView>
  </sheetViews>
  <sheetFormatPr baseColWidth="8" defaultColWidth="12.63" defaultRowHeight="15.75" customHeight="1"/>
  <cols>
    <col width="27.13" customWidth="1" style="38" min="1" max="1"/>
    <col width="52.38" customWidth="1" style="38" min="2" max="2"/>
  </cols>
  <sheetData>
    <row r="1">
      <c r="A1" s="18" t="inlineStr">
        <is>
          <t>OPENING_BALANCE_DATE</t>
        </is>
      </c>
      <c r="B1" s="3" t="n">
        <v>46203</v>
      </c>
    </row>
    <row r="2">
      <c r="A2" s="18" t="inlineStr">
        <is>
          <t>name</t>
        </is>
      </c>
      <c r="B2" s="19" t="inlineStr">
        <is>
          <t>SMA UII Yogyakarta</t>
        </is>
      </c>
    </row>
    <row r="3">
      <c r="A3" s="18" t="inlineStr">
        <is>
          <t>street</t>
        </is>
      </c>
      <c r="B3" s="19" t="inlineStr">
        <is>
          <t>Jl. Taman Siswa No.158</t>
        </is>
      </c>
    </row>
    <row r="4">
      <c r="A4" s="18" t="inlineStr">
        <is>
          <t>street2</t>
        </is>
      </c>
      <c r="B4" s="19" t="inlineStr">
        <is>
          <t>Wirogunan, Mergangsan</t>
        </is>
      </c>
    </row>
    <row r="5">
      <c r="A5" s="18" t="inlineStr">
        <is>
          <t>city</t>
        </is>
      </c>
      <c r="B5" s="19" t="inlineStr">
        <is>
          <t>Yogyakarta</t>
        </is>
      </c>
    </row>
    <row r="6">
      <c r="A6" s="18" t="inlineStr">
        <is>
          <t>state</t>
        </is>
      </c>
      <c r="B6" s="19" t="inlineStr">
        <is>
          <t>Yogyakarta</t>
        </is>
      </c>
    </row>
    <row r="7">
      <c r="A7" s="18" t="inlineStr">
        <is>
          <t>zip</t>
        </is>
      </c>
      <c r="B7" s="19" t="n">
        <v>55151</v>
      </c>
    </row>
    <row r="8">
      <c r="A8" s="18" t="inlineStr">
        <is>
          <t>country</t>
        </is>
      </c>
      <c r="B8" s="19" t="inlineStr">
        <is>
          <t>Indonesia</t>
        </is>
      </c>
    </row>
    <row r="9">
      <c r="A9" s="18" t="inlineStr">
        <is>
          <t>phone</t>
        </is>
      </c>
      <c r="B9" s="19" t="inlineStr">
        <is>
          <t>0274 3900192</t>
        </is>
      </c>
    </row>
    <row r="10">
      <c r="A10" s="18" t="inlineStr">
        <is>
          <t>email</t>
        </is>
      </c>
      <c r="B10" s="19" t="inlineStr">
        <is>
          <t>info@smauiiyk.sch.id</t>
        </is>
      </c>
    </row>
    <row r="11">
      <c r="A11" s="18" t="inlineStr">
        <is>
          <t>website</t>
        </is>
      </c>
      <c r="B11" s="5" t="inlineStr">
        <is>
          <t>https://www.smauiiyk.sch.id</t>
        </is>
      </c>
    </row>
    <row r="12">
      <c r="A12" s="18" t="inlineStr">
        <is>
          <t>logo</t>
        </is>
      </c>
      <c r="B12" s="5" t="inlineStr">
        <is>
          <t>https://smauiiyk.sch.id/wp-content/uploads/2025/06/BARU-scaled.png</t>
        </is>
      </c>
    </row>
    <row r="13">
      <c r="A13" s="18" t="inlineStr">
        <is>
          <t>external_report_layout</t>
        </is>
      </c>
      <c r="B13" s="19" t="inlineStr">
        <is>
          <t>web.external_layout_folder</t>
        </is>
      </c>
    </row>
    <row r="14">
      <c r="A14" s="18" t="inlineStr">
        <is>
          <t>report_footer</t>
        </is>
      </c>
      <c r="B14" s="19" t="inlineStr">
        <is>
          <t>Whatsapp : 0811 158 153, Email : info@smauiiyk.sch.id</t>
        </is>
      </c>
    </row>
    <row r="15">
      <c r="A15" s="0" t="inlineStr">
        <is>
          <t>analytic_accounting</t>
        </is>
      </c>
      <c r="B15" s="0" t="b">
        <v>1</v>
      </c>
    </row>
    <row r="16">
      <c r="A16" s="0" t="inlineStr">
        <is>
          <t>budget_management</t>
        </is>
      </c>
      <c r="B16" s="0" t="b">
        <v>1</v>
      </c>
    </row>
  </sheetData>
  <hyperlinks>
    <hyperlink xmlns:r="http://schemas.openxmlformats.org/officeDocument/2006/relationships" ref="B12" r:id="rId1"/>
    <hyperlink xmlns:r="http://schemas.openxmlformats.org/officeDocument/2006/relationships" ref="B1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13" customWidth="1" style="38" min="1" max="1"/>
    <col width="14.5" customWidth="1" style="38" min="2" max="2"/>
    <col width="15.63" customWidth="1" style="38" min="3" max="3"/>
    <col width="17.63" customWidth="1" style="38" min="5" max="5"/>
    <col width="19.25" customWidth="1" style="38" min="6" max="6"/>
    <col width="17.38" customWidth="1" style="38" min="8" max="8"/>
    <col width="19.5" customWidth="1" style="38" min="9" max="9"/>
    <col width="16.38" customWidth="1" style="38" min="10" max="10"/>
  </cols>
  <sheetData>
    <row r="1">
      <c r="A1" s="13" t="inlineStr">
        <is>
          <t>id</t>
        </is>
      </c>
      <c r="B1" s="13" t="inlineStr">
        <is>
          <t>name</t>
        </is>
      </c>
      <c r="C1" s="13" t="inlineStr">
        <is>
          <t>email</t>
        </is>
      </c>
      <c r="D1" s="13" t="inlineStr">
        <is>
          <t>phone</t>
        </is>
      </c>
      <c r="E1" s="13" t="inlineStr">
        <is>
          <t>is_company</t>
        </is>
      </c>
      <c r="F1" s="13" t="inlineStr">
        <is>
          <t>street</t>
        </is>
      </c>
      <c r="G1" s="13" t="inlineStr">
        <is>
          <t>city</t>
        </is>
      </c>
      <c r="H1" s="13" t="inlineStr">
        <is>
          <t>state</t>
        </is>
      </c>
      <c r="I1" s="13" t="inlineStr">
        <is>
          <t>ref</t>
        </is>
      </c>
      <c r="J1" s="22" t="inlineStr">
        <is>
          <t>country_id</t>
        </is>
      </c>
    </row>
    <row r="2">
      <c r="A2" s="31" t="inlineStr">
        <is>
          <t>res_partner_00001</t>
        </is>
      </c>
      <c r="B2" s="31" t="inlineStr">
        <is>
          <t>Slamet Wismadi</t>
        </is>
      </c>
      <c r="C2" s="31" t="inlineStr">
        <is>
          <t>slamet@gpu.co.id</t>
        </is>
      </c>
      <c r="E2" s="31" t="b">
        <v>0</v>
      </c>
      <c r="F2" s="31" t="inlineStr">
        <is>
          <t>Jl Perjuangan Nomor 1</t>
        </is>
      </c>
      <c r="G2" s="31" t="inlineStr">
        <is>
          <t>Bantul</t>
        </is>
      </c>
      <c r="H2" s="31" t="inlineStr">
        <is>
          <t>Yogyakarta</t>
        </is>
      </c>
      <c r="I2" s="31" t="n"/>
      <c r="J2" s="31" t="inlineStr">
        <is>
          <t>Indonesia</t>
        </is>
      </c>
    </row>
  </sheetData>
  <dataValidations count="3">
    <dataValidation sqref="E2" showDropDown="0" showInputMessage="0" showErrorMessage="0" allowBlank="0" type="list">
      <formula1>"FALSE,TRUE"</formula1>
    </dataValidation>
    <dataValidation sqref="J2" showDropDown="0" showInputMessage="0" showErrorMessage="0" allowBlank="0" type="list">
      <formula1>"Indonesia"</formula1>
    </dataValidation>
    <dataValidation sqref="H2" showDropDown="0" showInputMessage="0" showErrorMessage="0" allowBlank="0" type="list">
      <formula1>#REF!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1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3.13" customWidth="1" style="38" min="1" max="1"/>
    <col width="10.25" customWidth="1" style="38" min="2" max="2"/>
    <col width="12.38" customWidth="1" style="38" min="3" max="3"/>
    <col width="32.25" customWidth="1" style="38" min="4" max="4"/>
    <col width="25.38" customWidth="1" style="38" min="5" max="5"/>
    <col width="19.13" customWidth="1" style="38" min="6" max="6"/>
    <col width="19.63" customWidth="1" style="38" min="7" max="7"/>
    <col width="35" customWidth="1" style="38" min="8" max="9"/>
    <col width="40.63" customWidth="1" style="38" min="10" max="10"/>
    <col width="14.38" customWidth="1" style="38" min="11" max="11"/>
    <col width="13.25" customWidth="1" style="38" min="12" max="12"/>
    <col width="23.5" customWidth="1" style="38" min="13" max="13"/>
    <col width="68.25" customWidth="1" style="38" min="14" max="14"/>
  </cols>
  <sheetData>
    <row r="1">
      <c r="A1" s="22" t="inlineStr">
        <is>
          <t>id</t>
        </is>
      </c>
      <c r="B1" s="37" t="inlineStr">
        <is>
          <t>urutan</t>
        </is>
      </c>
      <c r="C1" s="13" t="inlineStr">
        <is>
          <t>code</t>
        </is>
      </c>
      <c r="D1" s="13" t="inlineStr">
        <is>
          <t>name</t>
        </is>
      </c>
      <c r="E1" s="13" t="inlineStr">
        <is>
          <t>account_type</t>
        </is>
      </c>
      <c r="F1" s="13" t="inlineStr">
        <is>
          <t>opening_debit</t>
        </is>
      </c>
      <c r="G1" s="13" t="inlineStr">
        <is>
          <t>opening_credit</t>
        </is>
      </c>
      <c r="H1" s="37" t="inlineStr">
        <is>
          <t>account_type_level_2</t>
        </is>
      </c>
      <c r="I1" s="37" t="inlineStr">
        <is>
          <t>account_type_level_3</t>
        </is>
      </c>
      <c r="J1" s="22" t="inlineStr">
        <is>
          <t>code_name</t>
        </is>
      </c>
      <c r="K1" s="37" t="inlineStr">
        <is>
          <t>original</t>
        </is>
      </c>
      <c r="L1" s="37" t="inlineStr">
        <is>
          <t>active</t>
        </is>
      </c>
      <c r="M1" s="37" t="inlineStr">
        <is>
          <t>original_name</t>
        </is>
      </c>
      <c r="N1" s="22" t="inlineStr">
        <is>
          <t>description</t>
        </is>
      </c>
    </row>
    <row r="2">
      <c r="A2" s="31" t="inlineStr">
        <is>
          <t>account.1_l10n_id_11110001</t>
        </is>
      </c>
      <c r="B2" s="32" t="n">
        <v>1</v>
      </c>
      <c r="C2" s="25" t="inlineStr">
        <is>
          <t>11110001</t>
        </is>
      </c>
      <c r="D2" s="31" t="inlineStr">
        <is>
          <t>Kas</t>
        </is>
      </c>
      <c r="E2" s="31" t="inlineStr">
        <is>
          <t>Bank dan Tunai</t>
        </is>
      </c>
      <c r="F2" s="32" t="n"/>
      <c r="G2" s="32" t="n"/>
      <c r="H2" s="31">
        <f t="array" ref="H2">_xlfn.XLOOKUP(account.account[account_type],account.account.account_type[name],account.account.account_type[npl group name level 2])</f>
        <v/>
      </c>
      <c r="I2" s="31">
        <f t="array" ref="I2">_xlfn.XLOOKUP(account.account[account_type],account.account.account_type[name],account.account.account_type[npl group name level 3])</f>
        <v/>
      </c>
      <c r="J2" s="31">
        <f>CONCATENATE(C2," ",D2)</f>
        <v/>
      </c>
      <c r="K2" s="30" t="b">
        <v>1</v>
      </c>
      <c r="L2" s="30" t="b">
        <v>1</v>
      </c>
      <c r="M2" s="32" t="n"/>
      <c r="N2" s="32" t="n"/>
    </row>
    <row r="3">
      <c r="A3" s="31" t="inlineStr">
        <is>
          <t>account.1_l10n_id_11110010</t>
        </is>
      </c>
      <c r="B3" s="32" t="n">
        <v>2</v>
      </c>
      <c r="C3" s="25" t="inlineStr">
        <is>
          <t>11110010</t>
        </is>
      </c>
      <c r="D3" s="31" t="inlineStr">
        <is>
          <t>Kas Kecil</t>
        </is>
      </c>
      <c r="E3" s="31" t="inlineStr">
        <is>
          <t>Bank dan Tunai</t>
        </is>
      </c>
      <c r="F3" s="32" t="n"/>
      <c r="G3" s="32" t="n"/>
      <c r="H3" s="31">
        <f t="array" ref="H3">_xlfn.XLOOKUP(account.account[account_type],account.account.account_type[name],account.account.account_type[npl group name level 2])</f>
        <v/>
      </c>
      <c r="I3" s="31">
        <f t="array" ref="I3">_xlfn.XLOOKUP(account.account[account_type],account.account.account_type[name],account.account.account_type[npl group name level 3])</f>
        <v/>
      </c>
      <c r="J3" s="31">
        <f>CONCATENATE(C3," ",D3)</f>
        <v/>
      </c>
      <c r="K3" s="30" t="b">
        <v>1</v>
      </c>
      <c r="L3" s="30" t="b">
        <v>1</v>
      </c>
      <c r="M3" s="32" t="n"/>
      <c r="N3" s="32" t="n"/>
    </row>
    <row r="4">
      <c r="A4" s="31" t="inlineStr">
        <is>
          <t>account.1_l10n_id_11120001</t>
        </is>
      </c>
      <c r="B4" s="32" t="n">
        <v>3</v>
      </c>
      <c r="C4" s="25" t="inlineStr">
        <is>
          <t>11120001</t>
        </is>
      </c>
      <c r="D4" s="31" t="inlineStr">
        <is>
          <t>Bank</t>
        </is>
      </c>
      <c r="E4" s="31" t="inlineStr">
        <is>
          <t>Bank dan Tunai</t>
        </is>
      </c>
      <c r="F4" s="32" t="n"/>
      <c r="G4" s="32" t="n"/>
      <c r="H4" s="31">
        <f t="array" ref="H4">_xlfn.XLOOKUP(account.account[account_type],account.account.account_type[name],account.account.account_type[npl group name level 2])</f>
        <v/>
      </c>
      <c r="I4" s="31">
        <f t="array" ref="I4">_xlfn.XLOOKUP(account.account[account_type],account.account.account_type[name],account.account.account_type[npl group name level 3])</f>
        <v/>
      </c>
      <c r="J4" s="31">
        <f>CONCATENATE(C4," ",D4)</f>
        <v/>
      </c>
      <c r="K4" s="30" t="b">
        <v>1</v>
      </c>
      <c r="L4" s="30" t="b">
        <v>1</v>
      </c>
      <c r="M4" s="32" t="n"/>
      <c r="N4" s="32" t="n"/>
    </row>
    <row r="5">
      <c r="A5" s="31" t="inlineStr">
        <is>
          <t>account.1_account_journal_suspense_account_id</t>
        </is>
      </c>
      <c r="B5" s="32" t="n">
        <v>4</v>
      </c>
      <c r="C5" s="25" t="inlineStr">
        <is>
          <t>11120002</t>
        </is>
      </c>
      <c r="D5" s="31" t="inlineStr">
        <is>
          <t>Akun Penangguhan Bank</t>
        </is>
      </c>
      <c r="E5" s="31" t="inlineStr">
        <is>
          <t>Aktiva Lancar</t>
        </is>
      </c>
      <c r="F5" s="32" t="n"/>
      <c r="G5" s="32" t="n"/>
      <c r="H5" s="31">
        <f t="array" ref="H5">_xlfn.XLOOKUP(account.account[account_type],account.account.account_type[name],account.account.account_type[npl group name level 2])</f>
        <v/>
      </c>
      <c r="I5" s="31">
        <f t="array" ref="I5">_xlfn.XLOOKUP(account.account[account_type],account.account.account_type[name],account.account.account_type[npl group name level 3])</f>
        <v/>
      </c>
      <c r="J5" s="31">
        <f>CONCATENATE(C5," ",D5)</f>
        <v/>
      </c>
      <c r="K5" s="30" t="b">
        <v>1</v>
      </c>
      <c r="L5" s="30" t="b">
        <v>1</v>
      </c>
      <c r="M5" s="32" t="n"/>
      <c r="N5" s="32" t="n"/>
    </row>
    <row r="6">
      <c r="A6" s="31" t="inlineStr">
        <is>
          <t>account.1_account_journal_payment_debit_account_id</t>
        </is>
      </c>
      <c r="B6" s="32" t="n">
        <v>5</v>
      </c>
      <c r="C6" s="25" t="inlineStr">
        <is>
          <t>11120003</t>
        </is>
      </c>
      <c r="D6" s="31" t="inlineStr">
        <is>
          <t>Tanda Terima Belum Lunas</t>
        </is>
      </c>
      <c r="E6" s="31" t="inlineStr">
        <is>
          <t>Aktiva Lancar</t>
        </is>
      </c>
      <c r="F6" s="32" t="n"/>
      <c r="G6" s="32" t="n"/>
      <c r="H6" s="31">
        <f t="array" ref="H6">_xlfn.XLOOKUP(account.account[account_type],account.account.account_type[name],account.account.account_type[npl group name level 2])</f>
        <v/>
      </c>
      <c r="I6" s="31">
        <f t="array" ref="I6">_xlfn.XLOOKUP(account.account[account_type],account.account.account_type[name],account.account.account_type[npl group name level 3])</f>
        <v/>
      </c>
      <c r="J6" s="31">
        <f>CONCATENATE(C6," ",D6)</f>
        <v/>
      </c>
      <c r="K6" s="30" t="b">
        <v>1</v>
      </c>
      <c r="L6" s="30" t="b">
        <v>1</v>
      </c>
      <c r="M6" s="32" t="n"/>
      <c r="N6" s="32" t="n"/>
    </row>
    <row r="7">
      <c r="A7" s="31" t="inlineStr">
        <is>
          <t>account.1_account_journal_payment_credit_account_id</t>
        </is>
      </c>
      <c r="B7" s="32" t="n">
        <v>6</v>
      </c>
      <c r="C7" s="25" t="inlineStr">
        <is>
          <t>11120004</t>
        </is>
      </c>
      <c r="D7" s="31" t="inlineStr">
        <is>
          <t>Pembayaran Belum Lunas</t>
        </is>
      </c>
      <c r="E7" s="31" t="inlineStr">
        <is>
          <t>Aktiva Lancar</t>
        </is>
      </c>
      <c r="F7" s="32" t="n"/>
      <c r="G7" s="32" t="n"/>
      <c r="H7" s="31">
        <f t="array" ref="H7">_xlfn.XLOOKUP(account.account[account_type],account.account.account_type[name],account.account.account_type[npl group name level 2])</f>
        <v/>
      </c>
      <c r="I7" s="31">
        <f t="array" ref="I7">_xlfn.XLOOKUP(account.account[account_type],account.account.account_type[name],account.account.account_type[npl group name level 3])</f>
        <v/>
      </c>
      <c r="J7" s="31">
        <f>CONCATENATE(C7," ",D7)</f>
        <v/>
      </c>
      <c r="K7" s="30" t="b">
        <v>1</v>
      </c>
      <c r="L7" s="30" t="b">
        <v>1</v>
      </c>
      <c r="M7" s="32" t="n"/>
      <c r="N7" s="32" t="n"/>
    </row>
    <row r="8">
      <c r="A8" s="31" t="inlineStr">
        <is>
          <t>account.1_l10n_id_11210010</t>
        </is>
      </c>
      <c r="B8" s="32" t="n">
        <v>7</v>
      </c>
      <c r="C8" s="25" t="inlineStr">
        <is>
          <t>11210010</t>
        </is>
      </c>
      <c r="D8" s="31" t="inlineStr">
        <is>
          <t>Piutang Usaha</t>
        </is>
      </c>
      <c r="E8" s="31" t="inlineStr">
        <is>
          <t>Piutang</t>
        </is>
      </c>
      <c r="F8" s="32" t="n"/>
      <c r="G8" s="32" t="n"/>
      <c r="H8" s="31">
        <f t="array" ref="H8">_xlfn.XLOOKUP(account.account[account_type],account.account.account_type[name],account.account.account_type[npl group name level 2])</f>
        <v/>
      </c>
      <c r="I8" s="31">
        <f t="array" ref="I8">_xlfn.XLOOKUP(account.account[account_type],account.account.account_type[name],account.account.account_type[npl group name level 3])</f>
        <v/>
      </c>
      <c r="J8" s="31">
        <f>CONCATENATE(C8," ",D8)</f>
        <v/>
      </c>
      <c r="K8" s="30" t="b">
        <v>1</v>
      </c>
      <c r="L8" s="30" t="b">
        <v>1</v>
      </c>
      <c r="M8" s="32" t="n"/>
      <c r="N8" s="32" t="n"/>
    </row>
    <row r="9">
      <c r="A9" s="31" t="inlineStr">
        <is>
          <t>account.1_l10n_id_11210011</t>
        </is>
      </c>
      <c r="B9" s="32" t="n">
        <v>8</v>
      </c>
      <c r="C9" s="25" t="inlineStr">
        <is>
          <t>11210011</t>
        </is>
      </c>
      <c r="D9" s="31" t="inlineStr">
        <is>
          <t>Piutang Usaha (PoS)</t>
        </is>
      </c>
      <c r="E9" s="31" t="inlineStr">
        <is>
          <t>Piutang</t>
        </is>
      </c>
      <c r="F9" s="32" t="n"/>
      <c r="G9" s="32" t="n"/>
      <c r="H9" s="31">
        <f t="array" ref="H9">_xlfn.XLOOKUP(account.account[account_type],account.account.account_type[name],account.account.account_type[npl group name level 2])</f>
        <v/>
      </c>
      <c r="I9" s="31">
        <f t="array" ref="I9">_xlfn.XLOOKUP(account.account[account_type],account.account.account_type[name],account.account.account_type[npl group name level 3])</f>
        <v/>
      </c>
      <c r="J9" s="31">
        <f>CONCATENATE(C9," ",D9)</f>
        <v/>
      </c>
      <c r="K9" s="30" t="b">
        <v>1</v>
      </c>
      <c r="L9" s="30" t="b">
        <v>1</v>
      </c>
      <c r="M9" s="32" t="n"/>
      <c r="N9" s="32" t="n"/>
    </row>
    <row r="10">
      <c r="A10" s="31" t="inlineStr">
        <is>
          <t>account.1_l10n_id_11210012</t>
        </is>
      </c>
      <c r="B10" s="32" t="n">
        <v>9</v>
      </c>
      <c r="C10" s="25" t="inlineStr">
        <is>
          <t>11210012</t>
        </is>
      </c>
      <c r="D10" s="31" t="inlineStr">
        <is>
          <t>Piutang PPN</t>
        </is>
      </c>
      <c r="E10" s="31" t="inlineStr">
        <is>
          <t>Piutang</t>
        </is>
      </c>
      <c r="F10" s="32" t="n"/>
      <c r="G10" s="32" t="n"/>
      <c r="H10" s="31">
        <f t="array" ref="H10">_xlfn.XLOOKUP(account.account[account_type],account.account.account_type[name],account.account.account_type[npl group name level 2])</f>
        <v/>
      </c>
      <c r="I10" s="31">
        <f t="array" ref="I10">_xlfn.XLOOKUP(account.account[account_type],account.account.account_type[name],account.account.account_type[npl group name level 3])</f>
        <v/>
      </c>
      <c r="J10" s="31">
        <f>CONCATENATE(C10," ",D10)</f>
        <v/>
      </c>
      <c r="K10" s="30" t="b">
        <v>1</v>
      </c>
      <c r="L10" s="30" t="b">
        <v>1</v>
      </c>
      <c r="M10" s="32" t="n"/>
      <c r="N10" s="32" t="inlineStr">
        <is>
          <t>Menampung kelebihan PPN yang dapat diminta kembali (restitusi) atau dikompensasikan</t>
        </is>
      </c>
    </row>
    <row r="11">
      <c r="A11" s="31" t="inlineStr">
        <is>
          <t>account.1_l10n_id_11210013</t>
        </is>
      </c>
      <c r="B11" s="32" t="n">
        <v>10</v>
      </c>
      <c r="C11" s="25" t="inlineStr">
        <is>
          <t>11210013</t>
        </is>
      </c>
      <c r="D11" s="31" t="inlineStr">
        <is>
          <t>Piutang STLG</t>
        </is>
      </c>
      <c r="E11" s="31" t="inlineStr">
        <is>
          <t>Piutang</t>
        </is>
      </c>
      <c r="F11" s="32" t="n"/>
      <c r="G11" s="32" t="n"/>
      <c r="H11" s="31">
        <f t="array" ref="H11">_xlfn.XLOOKUP(account.account[account_type],account.account.account_type[name],account.account.account_type[npl group name level 2])</f>
        <v/>
      </c>
      <c r="I11" s="31">
        <f t="array" ref="I11">_xlfn.XLOOKUP(account.account[account_type],account.account.account_type[name],account.account.account_type[npl group name level 3])</f>
        <v/>
      </c>
      <c r="J11" s="31">
        <f>CONCATENATE(C11," ",D11)</f>
        <v/>
      </c>
      <c r="K11" s="30" t="b">
        <v>1</v>
      </c>
      <c r="L11" s="30" t="b">
        <v>1</v>
      </c>
      <c r="M11" s="32" t="n"/>
      <c r="N11" s="32" t="inlineStr">
        <is>
          <t>Piutang STLG (Sales Tax on Luxurious Goods)</t>
        </is>
      </c>
    </row>
    <row r="12">
      <c r="A12" s="31" t="inlineStr">
        <is>
          <t>account.1_l10n_id_11210014</t>
        </is>
      </c>
      <c r="B12" s="32" t="n">
        <v>11</v>
      </c>
      <c r="C12" s="25" t="inlineStr">
        <is>
          <t>11210014</t>
        </is>
      </c>
      <c r="D12" s="31" t="inlineStr">
        <is>
          <t>Piutang PPh 28A</t>
        </is>
      </c>
      <c r="E12" s="31" t="inlineStr">
        <is>
          <t>Piutang</t>
        </is>
      </c>
      <c r="F12" s="32" t="n"/>
      <c r="G12" s="32" t="n"/>
      <c r="H12" s="31">
        <f t="array" ref="H12">_xlfn.XLOOKUP(account.account[account_type],account.account.account_type[name],account.account.account_type[npl group name level 2])</f>
        <v/>
      </c>
      <c r="I12" s="31">
        <f t="array" ref="I12">_xlfn.XLOOKUP(account.account[account_type],account.account.account_type[name],account.account.account_type[npl group name level 3])</f>
        <v/>
      </c>
      <c r="J12" s="31">
        <f>CONCATENATE(C12," ",D12)</f>
        <v/>
      </c>
      <c r="K12" s="30" t="b">
        <v>1</v>
      </c>
      <c r="L12" s="30" t="b">
        <v>1</v>
      </c>
      <c r="M12" s="32" t="inlineStr">
        <is>
          <t>PPh 28A Prepaid</t>
        </is>
      </c>
      <c r="N12" s="32" t="n"/>
    </row>
    <row r="13">
      <c r="A13" s="31" t="inlineStr">
        <is>
          <t>account.1_l10n_id_11210030</t>
        </is>
      </c>
      <c r="B13" s="32" t="n">
        <v>12</v>
      </c>
      <c r="C13" s="25" t="inlineStr">
        <is>
          <t>11210030</t>
        </is>
      </c>
      <c r="D13" s="31" t="inlineStr">
        <is>
          <t>PPN Masukan</t>
        </is>
      </c>
      <c r="E13" s="31" t="inlineStr">
        <is>
          <t>Aktiva Lancar</t>
        </is>
      </c>
      <c r="F13" s="32" t="n"/>
      <c r="G13" s="32" t="n"/>
      <c r="H13" s="31">
        <f t="array" ref="H13">_xlfn.XLOOKUP(account.account[account_type],account.account.account_type[name],account.account.account_type[npl group name level 2])</f>
        <v/>
      </c>
      <c r="I13" s="31">
        <f t="array" ref="I13">_xlfn.XLOOKUP(account.account[account_type],account.account.account_type[name],account.account.account_type[npl group name level 3])</f>
        <v/>
      </c>
      <c r="J13" s="31">
        <f>CONCATENATE(C13," ",D13)</f>
        <v/>
      </c>
      <c r="K13" s="30" t="b">
        <v>1</v>
      </c>
      <c r="L13" s="30" t="b">
        <v>1</v>
      </c>
      <c r="M13" s="32" t="n"/>
      <c r="N13" s="32" t="inlineStr">
        <is>
          <t>Menampung PPN Masukan dari transaksi pembelian</t>
        </is>
      </c>
    </row>
    <row r="14">
      <c r="A14" s="31" t="inlineStr">
        <is>
          <t>account.1_l10n_id_11210040</t>
        </is>
      </c>
      <c r="B14" s="32" t="n">
        <v>13</v>
      </c>
      <c r="C14" s="25" t="inlineStr">
        <is>
          <t>11210040</t>
        </is>
      </c>
      <c r="D14" s="31" t="inlineStr">
        <is>
          <t>Beban Dibayar Dimuka</t>
        </is>
      </c>
      <c r="E14" s="31" t="inlineStr">
        <is>
          <t>Aktiva Lancar</t>
        </is>
      </c>
      <c r="F14" s="32" t="n"/>
      <c r="G14" s="32" t="n"/>
      <c r="H14" s="31">
        <f t="array" ref="H14">_xlfn.XLOOKUP(account.account[account_type],account.account.account_type[name],account.account.account_type[npl group name level 2])</f>
        <v/>
      </c>
      <c r="I14" s="31">
        <f t="array" ref="I14">_xlfn.XLOOKUP(account.account[account_type],account.account.account_type[name],account.account.account_type[npl group name level 3])</f>
        <v/>
      </c>
      <c r="J14" s="31">
        <f>CONCATENATE(C14," ",D14)</f>
        <v/>
      </c>
      <c r="K14" s="30" t="b">
        <v>1</v>
      </c>
      <c r="L14" s="30" t="b">
        <v>1</v>
      </c>
      <c r="M14" s="32" t="inlineStr">
        <is>
          <t>Prepaid Expense</t>
        </is>
      </c>
      <c r="N14" s="32" t="n"/>
    </row>
    <row r="15">
      <c r="A15" s="31" t="inlineStr">
        <is>
          <t>account.1_l10n_id_11300180</t>
        </is>
      </c>
      <c r="B15" s="32" t="n">
        <v>14</v>
      </c>
      <c r="C15" s="25" t="inlineStr">
        <is>
          <t>11300180</t>
        </is>
      </c>
      <c r="D15" s="31" t="inlineStr">
        <is>
          <t>Persediaan Lainnya</t>
        </is>
      </c>
      <c r="E15" s="31" t="inlineStr">
        <is>
          <t>Aktiva Lancar</t>
        </is>
      </c>
      <c r="F15" s="32" t="n"/>
      <c r="G15" s="32" t="n"/>
      <c r="H15" s="31">
        <f t="array" ref="H15">_xlfn.XLOOKUP(account.account[account_type],account.account.account_type[name],account.account.account_type[npl group name level 2])</f>
        <v/>
      </c>
      <c r="I15" s="31">
        <f t="array" ref="I15">_xlfn.XLOOKUP(account.account[account_type],account.account.account_type[name],account.account.account_type[npl group name level 3])</f>
        <v/>
      </c>
      <c r="J15" s="31">
        <f>CONCATENATE(C15," ",D15)</f>
        <v/>
      </c>
      <c r="K15" s="30" t="b">
        <v>1</v>
      </c>
      <c r="L15" s="30" t="b">
        <v>1</v>
      </c>
      <c r="M15" s="32" t="n"/>
      <c r="N15" s="32" t="n"/>
    </row>
    <row r="16">
      <c r="A16" s="31" t="inlineStr">
        <is>
          <t>account.1_l10n_id_11410010</t>
        </is>
      </c>
      <c r="B16" s="32" t="n">
        <v>15</v>
      </c>
      <c r="C16" s="25" t="inlineStr">
        <is>
          <t>11410010</t>
        </is>
      </c>
      <c r="D16" s="31" t="inlineStr">
        <is>
          <t>Sewa Bangunan</t>
        </is>
      </c>
      <c r="E16" s="31" t="inlineStr">
        <is>
          <t>Prabayar</t>
        </is>
      </c>
      <c r="F16" s="32" t="n"/>
      <c r="G16" s="32" t="n"/>
      <c r="H16" s="31">
        <f t="array" ref="H16">_xlfn.XLOOKUP(account.account[account_type],account.account.account_type[name],account.account.account_type[npl group name level 2])</f>
        <v/>
      </c>
      <c r="I16" s="31">
        <f t="array" ref="I16">_xlfn.XLOOKUP(account.account[account_type],account.account.account_type[name],account.account.account_type[npl group name level 3])</f>
        <v/>
      </c>
      <c r="J16" s="31">
        <f>CONCATENATE(C16," ",D16)</f>
        <v/>
      </c>
      <c r="K16" s="30" t="b">
        <v>1</v>
      </c>
      <c r="L16" s="30" t="b">
        <v>1</v>
      </c>
      <c r="M16" s="32" t="n"/>
      <c r="N16" s="32" t="n"/>
    </row>
    <row r="17">
      <c r="A17" s="31" t="inlineStr">
        <is>
          <t>account.1_l10n_id_11410020</t>
        </is>
      </c>
      <c r="B17" s="32" t="n">
        <v>16</v>
      </c>
      <c r="C17" s="25" t="inlineStr">
        <is>
          <t>11410020</t>
        </is>
      </c>
      <c r="D17" s="31" t="inlineStr">
        <is>
          <t>Asuransi Dibayar Dimuka</t>
        </is>
      </c>
      <c r="E17" s="31" t="inlineStr">
        <is>
          <t>Prabayar</t>
        </is>
      </c>
      <c r="F17" s="32" t="n"/>
      <c r="G17" s="32" t="n"/>
      <c r="H17" s="31">
        <f t="array" ref="H17">_xlfn.XLOOKUP(account.account[account_type],account.account.account_type[name],account.account.account_type[npl group name level 2])</f>
        <v/>
      </c>
      <c r="I17" s="31">
        <f t="array" ref="I17">_xlfn.XLOOKUP(account.account[account_type],account.account.account_type[name],account.account.account_type[npl group name level 3])</f>
        <v/>
      </c>
      <c r="J17" s="31">
        <f>CONCATENATE(C17," ",D17)</f>
        <v/>
      </c>
      <c r="K17" s="30" t="b">
        <v>1</v>
      </c>
      <c r="L17" s="30" t="b">
        <v>1</v>
      </c>
      <c r="M17" s="32" t="n"/>
      <c r="N17" s="32" t="n"/>
    </row>
    <row r="18">
      <c r="A18" s="31" t="inlineStr">
        <is>
          <t>account.1_l10n_id_11410030</t>
        </is>
      </c>
      <c r="B18" s="32" t="n">
        <v>17</v>
      </c>
      <c r="C18" s="25" t="inlineStr">
        <is>
          <t>11410030</t>
        </is>
      </c>
      <c r="D18" s="31" t="inlineStr">
        <is>
          <t>Beban Iklan Dibayar Dimuka</t>
        </is>
      </c>
      <c r="E18" s="31" t="inlineStr">
        <is>
          <t>Prabayar</t>
        </is>
      </c>
      <c r="F18" s="32" t="n"/>
      <c r="G18" s="32" t="n"/>
      <c r="H18" s="31">
        <f t="array" ref="H18">_xlfn.XLOOKUP(account.account[account_type],account.account.account_type[name],account.account.account_type[npl group name level 2])</f>
        <v/>
      </c>
      <c r="I18" s="31">
        <f t="array" ref="I18">_xlfn.XLOOKUP(account.account[account_type],account.account.account_type[name],account.account.account_type[npl group name level 3])</f>
        <v/>
      </c>
      <c r="J18" s="31">
        <f>CONCATENATE(C18," ",D18)</f>
        <v/>
      </c>
      <c r="K18" s="30" t="b">
        <v>1</v>
      </c>
      <c r="L18" s="30" t="b">
        <v>1</v>
      </c>
      <c r="M18" s="32" t="n"/>
      <c r="N18" s="32" t="n"/>
    </row>
    <row r="19">
      <c r="A19" s="31" t="inlineStr">
        <is>
          <t>account.1_l10n_id_11510010</t>
        </is>
      </c>
      <c r="B19" s="32" t="n">
        <v>18</v>
      </c>
      <c r="C19" s="25" t="inlineStr">
        <is>
          <t>11510010</t>
        </is>
      </c>
      <c r="D19" s="31" t="inlineStr">
        <is>
          <t>PPH 21 Dibayar Dimuka</t>
        </is>
      </c>
      <c r="E19" s="31" t="inlineStr">
        <is>
          <t>Prabayar</t>
        </is>
      </c>
      <c r="F19" s="32" t="n"/>
      <c r="G19" s="32" t="n"/>
      <c r="H19" s="31">
        <f t="array" ref="H19">_xlfn.XLOOKUP(account.account[account_type],account.account.account_type[name],account.account.account_type[npl group name level 2])</f>
        <v/>
      </c>
      <c r="I19" s="31">
        <f t="array" ref="I19">_xlfn.XLOOKUP(account.account[account_type],account.account.account_type[name],account.account.account_type[npl group name level 3])</f>
        <v/>
      </c>
      <c r="J19" s="31">
        <f>CONCATENATE(C19," ",D19)</f>
        <v/>
      </c>
      <c r="K19" s="30" t="b">
        <v>1</v>
      </c>
      <c r="L19" s="30" t="b">
        <v>1</v>
      </c>
      <c r="M19" s="32" t="inlineStr">
        <is>
          <t>Prepaid Tax PPh 21</t>
        </is>
      </c>
      <c r="N19" s="32" t="n"/>
    </row>
    <row r="20">
      <c r="A20" s="31" t="inlineStr">
        <is>
          <t>account.1_l10n_id_11510020</t>
        </is>
      </c>
      <c r="B20" s="32" t="n">
        <v>19</v>
      </c>
      <c r="C20" s="25" t="inlineStr">
        <is>
          <t>11510020</t>
        </is>
      </c>
      <c r="D20" s="31" t="inlineStr">
        <is>
          <t>PPH 22 Dibayar Dimuka</t>
        </is>
      </c>
      <c r="E20" s="31" t="inlineStr">
        <is>
          <t>Prabayar</t>
        </is>
      </c>
      <c r="F20" s="32" t="n"/>
      <c r="G20" s="32" t="n"/>
      <c r="H20" s="31">
        <f t="array" ref="H20">_xlfn.XLOOKUP(account.account[account_type],account.account.account_type[name],account.account.account_type[npl group name level 2])</f>
        <v/>
      </c>
      <c r="I20" s="31">
        <f t="array" ref="I20">_xlfn.XLOOKUP(account.account[account_type],account.account.account_type[name],account.account.account_type[npl group name level 3])</f>
        <v/>
      </c>
      <c r="J20" s="31">
        <f>CONCATENATE(C20," ",D20)</f>
        <v/>
      </c>
      <c r="K20" s="30" t="b">
        <v>1</v>
      </c>
      <c r="L20" s="30" t="b">
        <v>1</v>
      </c>
      <c r="M20" s="32" t="n"/>
      <c r="N20" s="32" t="n"/>
    </row>
    <row r="21">
      <c r="A21" s="31" t="inlineStr">
        <is>
          <t>account.1_l10n_id_11510030</t>
        </is>
      </c>
      <c r="B21" s="32" t="n">
        <v>20</v>
      </c>
      <c r="C21" s="25" t="inlineStr">
        <is>
          <t>11510030</t>
        </is>
      </c>
      <c r="D21" s="31" t="inlineStr">
        <is>
          <t>PPH 23 Dibayar Dimuka</t>
        </is>
      </c>
      <c r="E21" s="31" t="inlineStr">
        <is>
          <t>Prabayar</t>
        </is>
      </c>
      <c r="F21" s="32" t="n"/>
      <c r="G21" s="32" t="n"/>
      <c r="H21" s="31">
        <f t="array" ref="H21">_xlfn.XLOOKUP(account.account[account_type],account.account.account_type[name],account.account.account_type[npl group name level 2])</f>
        <v/>
      </c>
      <c r="I21" s="31">
        <f t="array" ref="I21">_xlfn.XLOOKUP(account.account[account_type],account.account.account_type[name],account.account.account_type[npl group name level 3])</f>
        <v/>
      </c>
      <c r="J21" s="31">
        <f>CONCATENATE(C21," ",D21)</f>
        <v/>
      </c>
      <c r="K21" s="30" t="b">
        <v>1</v>
      </c>
      <c r="L21" s="30" t="b">
        <v>1</v>
      </c>
      <c r="M21" s="32" t="n"/>
      <c r="N21" s="32" t="n"/>
    </row>
    <row r="22">
      <c r="A22" s="31" t="inlineStr">
        <is>
          <t>account.1_l10n_id_11510040</t>
        </is>
      </c>
      <c r="B22" s="32" t="n">
        <v>21</v>
      </c>
      <c r="C22" s="25" t="inlineStr">
        <is>
          <t>11510040</t>
        </is>
      </c>
      <c r="D22" s="31" t="inlineStr">
        <is>
          <t>PPH 25 Dibayar Dimuka</t>
        </is>
      </c>
      <c r="E22" s="31" t="inlineStr">
        <is>
          <t>Prabayar</t>
        </is>
      </c>
      <c r="F22" s="32" t="n"/>
      <c r="G22" s="32" t="n"/>
      <c r="H22" s="31">
        <f t="array" ref="H22">_xlfn.XLOOKUP(account.account[account_type],account.account.account_type[name],account.account.account_type[npl group name level 2])</f>
        <v/>
      </c>
      <c r="I22" s="31">
        <f t="array" ref="I22">_xlfn.XLOOKUP(account.account[account_type],account.account.account_type[name],account.account.account_type[npl group name level 3])</f>
        <v/>
      </c>
      <c r="J22" s="31">
        <f>CONCATENATE(C22," ",D22)</f>
        <v/>
      </c>
      <c r="K22" s="30" t="b">
        <v>1</v>
      </c>
      <c r="L22" s="30" t="b">
        <v>1</v>
      </c>
      <c r="M22" s="32" t="n"/>
      <c r="N22" s="32" t="n"/>
    </row>
    <row r="23">
      <c r="A23" s="31" t="inlineStr">
        <is>
          <t>account.1_l10n_id_11800000</t>
        </is>
      </c>
      <c r="B23" s="32" t="n">
        <v>22</v>
      </c>
      <c r="C23" s="25" t="inlineStr">
        <is>
          <t>11800000</t>
        </is>
      </c>
      <c r="D23" s="31" t="inlineStr">
        <is>
          <t>Uang Muka Pembelian</t>
        </is>
      </c>
      <c r="E23" s="31" t="inlineStr">
        <is>
          <t>Prabayar</t>
        </is>
      </c>
      <c r="F23" s="32" t="n"/>
      <c r="G23" s="32" t="n"/>
      <c r="H23" s="31">
        <f t="array" ref="H23">_xlfn.XLOOKUP(account.account[account_type],account.account.account_type[name],account.account.account_type[npl group name level 2])</f>
        <v/>
      </c>
      <c r="I23" s="31">
        <f t="array" ref="I23">_xlfn.XLOOKUP(account.account[account_type],account.account.account_type[name],account.account.account_type[npl group name level 3])</f>
        <v/>
      </c>
      <c r="J23" s="31">
        <f>CONCATENATE(C23," ",D23)</f>
        <v/>
      </c>
      <c r="K23" s="30" t="b">
        <v>1</v>
      </c>
      <c r="L23" s="30" t="b">
        <v>1</v>
      </c>
      <c r="M23" s="32" t="n"/>
      <c r="N23" s="32" t="n"/>
    </row>
    <row r="24">
      <c r="A24" s="31" t="inlineStr">
        <is>
          <t>account.1_l10n_id_12210010</t>
        </is>
      </c>
      <c r="B24" s="32" t="n">
        <v>23</v>
      </c>
      <c r="C24" s="25" t="inlineStr">
        <is>
          <t>12210010</t>
        </is>
      </c>
      <c r="D24" s="31" t="inlineStr">
        <is>
          <t>Bangunan Kantor</t>
        </is>
      </c>
      <c r="E24" s="31" t="inlineStr">
        <is>
          <t>Aktiva Tetap</t>
        </is>
      </c>
      <c r="F24" s="32" t="n"/>
      <c r="G24" s="32" t="n"/>
      <c r="H24" s="31">
        <f t="array" ref="H24">_xlfn.XLOOKUP(account.account[account_type],account.account.account_type[name],account.account.account_type[npl group name level 2])</f>
        <v/>
      </c>
      <c r="I24" s="31">
        <f t="array" ref="I24">_xlfn.XLOOKUP(account.account[account_type],account.account.account_type[name],account.account.account_type[npl group name level 3])</f>
        <v/>
      </c>
      <c r="J24" s="31">
        <f>CONCATENATE(C24," ",D24)</f>
        <v/>
      </c>
      <c r="K24" s="30" t="b">
        <v>1</v>
      </c>
      <c r="L24" s="30" t="b">
        <v>1</v>
      </c>
      <c r="M24" s="32" t="n"/>
      <c r="N24" s="32" t="n"/>
    </row>
    <row r="25">
      <c r="A25" s="31" t="inlineStr">
        <is>
          <t>account.1_l10n_id_12210020</t>
        </is>
      </c>
      <c r="B25" s="32" t="n">
        <v>24</v>
      </c>
      <c r="C25" s="25" t="inlineStr">
        <is>
          <t>12210020</t>
        </is>
      </c>
      <c r="D25" s="31" t="inlineStr">
        <is>
          <t>Kendaraan</t>
        </is>
      </c>
      <c r="E25" s="31" t="inlineStr">
        <is>
          <t>Aktiva Tetap</t>
        </is>
      </c>
      <c r="F25" s="32" t="n"/>
      <c r="G25" s="32" t="n"/>
      <c r="H25" s="31">
        <f t="array" ref="H25">_xlfn.XLOOKUP(account.account[account_type],account.account.account_type[name],account.account.account_type[npl group name level 2])</f>
        <v/>
      </c>
      <c r="I25" s="31">
        <f t="array" ref="I25">_xlfn.XLOOKUP(account.account[account_type],account.account.account_type[name],account.account.account_type[npl group name level 3])</f>
        <v/>
      </c>
      <c r="J25" s="31">
        <f>CONCATENATE(C25," ",D25)</f>
        <v/>
      </c>
      <c r="K25" s="30" t="b">
        <v>1</v>
      </c>
      <c r="L25" s="30" t="b">
        <v>1</v>
      </c>
      <c r="M25" s="32" t="n"/>
      <c r="N25" s="32" t="n"/>
    </row>
    <row r="26">
      <c r="A26" s="31" t="inlineStr">
        <is>
          <t>account.1_l10n_id_12210030</t>
        </is>
      </c>
      <c r="B26" s="32" t="n">
        <v>25</v>
      </c>
      <c r="C26" s="25" t="inlineStr">
        <is>
          <t>12210030</t>
        </is>
      </c>
      <c r="D26" s="31" t="inlineStr">
        <is>
          <t>Peralatan Kantor</t>
        </is>
      </c>
      <c r="E26" s="31" t="inlineStr">
        <is>
          <t>Aktiva Tetap</t>
        </is>
      </c>
      <c r="F26" s="32" t="n"/>
      <c r="G26" s="32" t="n"/>
      <c r="H26" s="31">
        <f t="array" ref="H26">_xlfn.XLOOKUP(account.account[account_type],account.account.account_type[name],account.account.account_type[npl group name level 2])</f>
        <v/>
      </c>
      <c r="I26" s="31">
        <f t="array" ref="I26">_xlfn.XLOOKUP(account.account[account_type],account.account.account_type[name],account.account.account_type[npl group name level 3])</f>
        <v/>
      </c>
      <c r="J26" s="31">
        <f>CONCATENATE(C26," ",D26)</f>
        <v/>
      </c>
      <c r="K26" s="30" t="b">
        <v>1</v>
      </c>
      <c r="L26" s="30" t="b">
        <v>1</v>
      </c>
      <c r="M26" s="32" t="n"/>
      <c r="N26" s="32" t="n"/>
    </row>
    <row r="27">
      <c r="A27" s="31" t="inlineStr">
        <is>
          <t>account.1_l10n_id_12281010</t>
        </is>
      </c>
      <c r="B27" s="32" t="n">
        <v>26</v>
      </c>
      <c r="C27" s="25" t="inlineStr">
        <is>
          <t>12281010</t>
        </is>
      </c>
      <c r="D27" s="31" t="inlineStr">
        <is>
          <t>Akumulasi Penyusutan Bangunan Kantor</t>
        </is>
      </c>
      <c r="E27" s="31" t="inlineStr">
        <is>
          <t>Aktiva Tetap</t>
        </is>
      </c>
      <c r="F27" s="32" t="n"/>
      <c r="G27" s="32" t="n"/>
      <c r="H27" s="31">
        <f t="array" ref="H27">_xlfn.XLOOKUP(account.account[account_type],account.account.account_type[name],account.account.account_type[npl group name level 2])</f>
        <v/>
      </c>
      <c r="I27" s="31">
        <f t="array" ref="I27">_xlfn.XLOOKUP(account.account[account_type],account.account.account_type[name],account.account.account_type[npl group name level 3])</f>
        <v/>
      </c>
      <c r="J27" s="31">
        <f>CONCATENATE(C27," ",D27)</f>
        <v/>
      </c>
      <c r="K27" s="30" t="b">
        <v>1</v>
      </c>
      <c r="L27" s="30" t="b">
        <v>1</v>
      </c>
      <c r="M27" s="32" t="n"/>
      <c r="N27" s="32" t="n"/>
    </row>
    <row r="28">
      <c r="A28" s="31" t="inlineStr">
        <is>
          <t>account.1_l10n_id_12281020</t>
        </is>
      </c>
      <c r="B28" s="32" t="n">
        <v>27</v>
      </c>
      <c r="C28" s="25" t="inlineStr">
        <is>
          <t>12281020</t>
        </is>
      </c>
      <c r="D28" s="31" t="inlineStr">
        <is>
          <t>Akumulasi Penyusutan Kendaraan</t>
        </is>
      </c>
      <c r="E28" s="31" t="inlineStr">
        <is>
          <t>Aktiva Tetap</t>
        </is>
      </c>
      <c r="F28" s="32" t="n"/>
      <c r="G28" s="32" t="n"/>
      <c r="H28" s="31">
        <f t="array" ref="H28">_xlfn.XLOOKUP(account.account[account_type],account.account.account_type[name],account.account.account_type[npl group name level 2])</f>
        <v/>
      </c>
      <c r="I28" s="31">
        <f t="array" ref="I28">_xlfn.XLOOKUP(account.account[account_type],account.account.account_type[name],account.account.account_type[npl group name level 3])</f>
        <v/>
      </c>
      <c r="J28" s="31">
        <f>CONCATENATE(C28," ",D28)</f>
        <v/>
      </c>
      <c r="K28" s="30" t="b">
        <v>1</v>
      </c>
      <c r="L28" s="30" t="b">
        <v>1</v>
      </c>
      <c r="M28" s="32" t="n"/>
      <c r="N28" s="32" t="n"/>
    </row>
    <row r="29">
      <c r="A29" s="31" t="inlineStr">
        <is>
          <t>account.1_l10n_id_12281030</t>
        </is>
      </c>
      <c r="B29" s="32" t="n">
        <v>28</v>
      </c>
      <c r="C29" s="25" t="inlineStr">
        <is>
          <t>12281030</t>
        </is>
      </c>
      <c r="D29" s="31" t="inlineStr">
        <is>
          <t>Akumulasi Penyusutan Peralatan Kantor</t>
        </is>
      </c>
      <c r="E29" s="31" t="inlineStr">
        <is>
          <t>Aktiva Tetap</t>
        </is>
      </c>
      <c r="F29" s="32" t="n"/>
      <c r="G29" s="32" t="n"/>
      <c r="H29" s="31">
        <f t="array" ref="H29">_xlfn.XLOOKUP(account.account[account_type],account.account.account_type[name],account.account.account_type[npl group name level 2])</f>
        <v/>
      </c>
      <c r="I29" s="31">
        <f t="array" ref="I29">_xlfn.XLOOKUP(account.account[account_type],account.account.account_type[name],account.account.account_type[npl group name level 3])</f>
        <v/>
      </c>
      <c r="J29" s="31">
        <f>CONCATENATE(C29," ",D29)</f>
        <v/>
      </c>
      <c r="K29" s="30" t="b">
        <v>1</v>
      </c>
      <c r="L29" s="30" t="b">
        <v>1</v>
      </c>
      <c r="M29" s="32" t="n"/>
      <c r="N29" s="32" t="n"/>
    </row>
    <row r="30">
      <c r="A30" s="31" t="inlineStr">
        <is>
          <t>account.1_transfer_account_id</t>
        </is>
      </c>
      <c r="B30" s="32" t="n">
        <v>29</v>
      </c>
      <c r="C30" s="25" t="inlineStr">
        <is>
          <t>19999991</t>
        </is>
      </c>
      <c r="D30" s="31" t="inlineStr">
        <is>
          <t>Liquidity Transfer</t>
        </is>
      </c>
      <c r="E30" s="31" t="inlineStr">
        <is>
          <t>Aktiva Lancar</t>
        </is>
      </c>
      <c r="F30" s="32" t="n"/>
      <c r="G30" s="32" t="n"/>
      <c r="H30" s="31">
        <f t="array" ref="H30">_xlfn.XLOOKUP(account.account[account_type],account.account.account_type[name],account.account.account_type[npl group name level 2])</f>
        <v/>
      </c>
      <c r="I30" s="31">
        <f t="array" ref="I30">_xlfn.XLOOKUP(account.account[account_type],account.account.account_type[name],account.account.account_type[npl group name level 3])</f>
        <v/>
      </c>
      <c r="J30" s="31">
        <f>CONCATENATE(C30," ",D30)</f>
        <v/>
      </c>
      <c r="K30" s="30" t="b">
        <v>1</v>
      </c>
      <c r="L30" s="30" t="b">
        <v>1</v>
      </c>
      <c r="M30" s="32" t="n"/>
      <c r="N30" s="32" t="n"/>
    </row>
    <row r="31">
      <c r="A31" s="31" t="inlineStr">
        <is>
          <t>account.1_l10n_id_21100010</t>
        </is>
      </c>
      <c r="B31" s="32" t="n">
        <v>30</v>
      </c>
      <c r="C31" s="25" t="inlineStr">
        <is>
          <t>21100010</t>
        </is>
      </c>
      <c r="D31" s="31" t="inlineStr">
        <is>
          <t>Hutang Usaha</t>
        </is>
      </c>
      <c r="E31" s="31" t="inlineStr">
        <is>
          <t>Utang</t>
        </is>
      </c>
      <c r="F31" s="32" t="n"/>
      <c r="G31" s="32" t="n"/>
      <c r="H31" s="31">
        <f t="array" ref="H31">_xlfn.XLOOKUP(account.account[account_type],account.account.account_type[name],account.account.account_type[npl group name level 2])</f>
        <v/>
      </c>
      <c r="I31" s="31">
        <f t="array" ref="I31">_xlfn.XLOOKUP(account.account[account_type],account.account.account_type[name],account.account.account_type[npl group name level 3])</f>
        <v/>
      </c>
      <c r="J31" s="31">
        <f>CONCATENATE(C31," ",D31)</f>
        <v/>
      </c>
      <c r="K31" s="30" t="b">
        <v>1</v>
      </c>
      <c r="L31" s="30" t="b">
        <v>1</v>
      </c>
      <c r="M31" s="32" t="n"/>
      <c r="N31" s="32" t="n"/>
    </row>
    <row r="32">
      <c r="A32" s="31" t="inlineStr">
        <is>
          <t>account.1_l10n_id_21100011</t>
        </is>
      </c>
      <c r="B32" s="32" t="n">
        <v>31</v>
      </c>
      <c r="C32" s="25" t="inlineStr">
        <is>
          <t>21100011</t>
        </is>
      </c>
      <c r="D32" s="31" t="inlineStr">
        <is>
          <t>Hutang PPN</t>
        </is>
      </c>
      <c r="E32" s="31" t="inlineStr">
        <is>
          <t>Utang</t>
        </is>
      </c>
      <c r="F32" s="32" t="n"/>
      <c r="G32" s="32" t="n"/>
      <c r="H32" s="31">
        <f t="array" ref="H32">_xlfn.XLOOKUP(account.account[account_type],account.account.account_type[name],account.account.account_type[npl group name level 2])</f>
        <v/>
      </c>
      <c r="I32" s="31">
        <f t="array" ref="I32">_xlfn.XLOOKUP(account.account[account_type],account.account.account_type[name],account.account.account_type[npl group name level 3])</f>
        <v/>
      </c>
      <c r="J32" s="31">
        <f>CONCATENATE(C32," ",D32)</f>
        <v/>
      </c>
      <c r="K32" s="30" t="b">
        <v>1</v>
      </c>
      <c r="L32" s="30" t="b">
        <v>1</v>
      </c>
      <c r="M32" s="32" t="n"/>
      <c r="N32" s="32" t="inlineStr">
        <is>
          <t>Menampung PPN yang harus disetor ke negara setelah proses tutup masa pajak</t>
        </is>
      </c>
    </row>
    <row r="33">
      <c r="A33" s="31" t="inlineStr">
        <is>
          <t>account.1_l10n_id_21100012</t>
        </is>
      </c>
      <c r="B33" s="32" t="n">
        <v>32</v>
      </c>
      <c r="C33" s="25" t="inlineStr">
        <is>
          <t>21100012</t>
        </is>
      </c>
      <c r="D33" s="31" t="inlineStr">
        <is>
          <t>Hutang PPnBM</t>
        </is>
      </c>
      <c r="E33" s="31" t="inlineStr">
        <is>
          <t>Utang</t>
        </is>
      </c>
      <c r="F33" s="32" t="n"/>
      <c r="G33" s="32" t="n"/>
      <c r="H33" s="31">
        <f t="array" ref="H33">_xlfn.XLOOKUP(account.account[account_type],account.account.account_type[name],account.account.account_type[npl group name level 2])</f>
        <v/>
      </c>
      <c r="I33" s="31">
        <f t="array" ref="I33">_xlfn.XLOOKUP(account.account[account_type],account.account.account_type[name],account.account.account_type[npl group name level 3])</f>
        <v/>
      </c>
      <c r="J33" s="31">
        <f>CONCATENATE(C33," ",D33)</f>
        <v/>
      </c>
      <c r="K33" s="30" t="b">
        <v>1</v>
      </c>
      <c r="L33" s="30" t="b">
        <v>1</v>
      </c>
      <c r="M33" s="32" t="inlineStr">
        <is>
          <t>STLG Payable</t>
        </is>
      </c>
      <c r="N33" s="32" t="n"/>
    </row>
    <row r="34">
      <c r="A34" s="31" t="inlineStr">
        <is>
          <t>account.1_l10n_id_21100013</t>
        </is>
      </c>
      <c r="B34" s="32" t="n">
        <v>33</v>
      </c>
      <c r="C34" s="25" t="inlineStr">
        <is>
          <t>21100013</t>
        </is>
      </c>
      <c r="D34" s="31" t="inlineStr">
        <is>
          <t>Piutang Karyawan</t>
        </is>
      </c>
      <c r="E34" s="31" t="inlineStr">
        <is>
          <t>Pasiva Terkini</t>
        </is>
      </c>
      <c r="F34" s="32" t="n"/>
      <c r="G34" s="32" t="n"/>
      <c r="H34" s="31">
        <f t="array" ref="H34">_xlfn.XLOOKUP(account.account[account_type],account.account.account_type[name],account.account.account_type[npl group name level 2])</f>
        <v/>
      </c>
      <c r="I34" s="31">
        <f t="array" ref="I34">_xlfn.XLOOKUP(account.account[account_type],account.account.account_type[name],account.account.account_type[npl group name level 3])</f>
        <v/>
      </c>
      <c r="J34" s="31">
        <f>CONCATENATE(C34," ",D34)</f>
        <v/>
      </c>
      <c r="K34" s="30" t="b">
        <v>1</v>
      </c>
      <c r="L34" s="30" t="b">
        <v>1</v>
      </c>
      <c r="M34" s="32" t="n"/>
      <c r="N34" s="32" t="n"/>
    </row>
    <row r="35">
      <c r="A35" s="31" t="inlineStr">
        <is>
          <t>account.1_l10n_id_21100014</t>
        </is>
      </c>
      <c r="B35" s="32" t="n">
        <v>34</v>
      </c>
      <c r="C35" s="25" t="inlineStr">
        <is>
          <t>21100014</t>
        </is>
      </c>
      <c r="D35" s="31" t="inlineStr">
        <is>
          <t>Hutang Pajak PPh 29</t>
        </is>
      </c>
      <c r="E35" s="31" t="inlineStr">
        <is>
          <t>Utang</t>
        </is>
      </c>
      <c r="F35" s="32" t="n"/>
      <c r="G35" s="32" t="n"/>
      <c r="H35" s="31">
        <f t="array" ref="H35">_xlfn.XLOOKUP(account.account[account_type],account.account.account_type[name],account.account.account_type[npl group name level 2])</f>
        <v/>
      </c>
      <c r="I35" s="31">
        <f t="array" ref="I35">_xlfn.XLOOKUP(account.account[account_type],account.account.account_type[name],account.account.account_type[npl group name level 3])</f>
        <v/>
      </c>
      <c r="J35" s="31">
        <f>CONCATENATE(C35," ",D35)</f>
        <v/>
      </c>
      <c r="K35" s="30" t="b">
        <v>1</v>
      </c>
      <c r="L35" s="30" t="b">
        <v>1</v>
      </c>
      <c r="M35" s="32" t="inlineStr">
        <is>
          <t>Tax Payable PPh 29</t>
        </is>
      </c>
      <c r="N35" s="32" t="n"/>
    </row>
    <row r="36">
      <c r="A36" s="31" t="inlineStr">
        <is>
          <t>account.1_l10n_id_21100020</t>
        </is>
      </c>
      <c r="B36" s="32" t="n">
        <v>35</v>
      </c>
      <c r="C36" s="25" t="inlineStr">
        <is>
          <t>21100020</t>
        </is>
      </c>
      <c r="D36" s="31" t="inlineStr">
        <is>
          <t>Hutang Pemegang Saham</t>
        </is>
      </c>
      <c r="E36" s="31" t="inlineStr">
        <is>
          <t>Pasiva Terkini</t>
        </is>
      </c>
      <c r="F36" s="32" t="n"/>
      <c r="G36" s="32" t="n"/>
      <c r="H36" s="31">
        <f t="array" ref="H36">_xlfn.XLOOKUP(account.account[account_type],account.account.account_type[name],account.account.account_type[npl group name level 2])</f>
        <v/>
      </c>
      <c r="I36" s="31">
        <f t="array" ref="I36">_xlfn.XLOOKUP(account.account[account_type],account.account.account_type[name],account.account.account_type[npl group name level 3])</f>
        <v/>
      </c>
      <c r="J36" s="31">
        <f>CONCATENATE(C36," ",D36)</f>
        <v/>
      </c>
      <c r="K36" s="30" t="b">
        <v>1</v>
      </c>
      <c r="L36" s="30" t="b">
        <v>1</v>
      </c>
      <c r="M36" s="32" t="n"/>
      <c r="N36" s="32" t="n"/>
    </row>
    <row r="37">
      <c r="A37" s="31" t="inlineStr">
        <is>
          <t>account.1_l10n_id_21100030</t>
        </is>
      </c>
      <c r="B37" s="32" t="n">
        <v>36</v>
      </c>
      <c r="C37" s="25" t="inlineStr">
        <is>
          <t>21100030</t>
        </is>
      </c>
      <c r="D37" s="31" t="inlineStr">
        <is>
          <t>Hutang Pihak Ketiga</t>
        </is>
      </c>
      <c r="E37" s="31" t="inlineStr">
        <is>
          <t>Pasiva Terkini</t>
        </is>
      </c>
      <c r="F37" s="32" t="n"/>
      <c r="G37" s="32" t="n"/>
      <c r="H37" s="31">
        <f t="array" ref="H37">_xlfn.XLOOKUP(account.account[account_type],account.account.account_type[name],account.account.account_type[npl group name level 2])</f>
        <v/>
      </c>
      <c r="I37" s="31">
        <f t="array" ref="I37">_xlfn.XLOOKUP(account.account[account_type],account.account.account_type[name],account.account.account_type[npl group name level 3])</f>
        <v/>
      </c>
      <c r="J37" s="31">
        <f>CONCATENATE(C37," ",D37)</f>
        <v/>
      </c>
      <c r="K37" s="30" t="b">
        <v>1</v>
      </c>
      <c r="L37" s="30" t="b">
        <v>1</v>
      </c>
      <c r="M37" s="32" t="n"/>
      <c r="N37" s="32" t="n"/>
    </row>
    <row r="38">
      <c r="A38" s="31" t="inlineStr">
        <is>
          <t>account.1_l10n_id_21100040</t>
        </is>
      </c>
      <c r="B38" s="32" t="n">
        <v>37</v>
      </c>
      <c r="C38" s="25" t="inlineStr">
        <is>
          <t>21100040</t>
        </is>
      </c>
      <c r="D38" s="31" t="inlineStr">
        <is>
          <t>Hutang Gaji</t>
        </is>
      </c>
      <c r="E38" s="31" t="inlineStr">
        <is>
          <t>Pasiva Terkini</t>
        </is>
      </c>
      <c r="F38" s="32" t="n"/>
      <c r="G38" s="32" t="n"/>
      <c r="H38" s="31">
        <f t="array" ref="H38">_xlfn.XLOOKUP(account.account[account_type],account.account.account_type[name],account.account.account_type[npl group name level 2])</f>
        <v/>
      </c>
      <c r="I38" s="31">
        <f t="array" ref="I38">_xlfn.XLOOKUP(account.account[account_type],account.account.account_type[name],account.account.account_type[npl group name level 3])</f>
        <v/>
      </c>
      <c r="J38" s="31">
        <f>CONCATENATE(C38," ",D38)</f>
        <v/>
      </c>
      <c r="K38" s="30" t="b">
        <v>1</v>
      </c>
      <c r="L38" s="30" t="b">
        <v>1</v>
      </c>
      <c r="M38" s="32" t="n"/>
      <c r="N38" s="32" t="n"/>
    </row>
    <row r="39">
      <c r="A39" s="31" t="inlineStr">
        <is>
          <t>account.1_l10n_id_21210010</t>
        </is>
      </c>
      <c r="B39" s="32" t="n">
        <v>38</v>
      </c>
      <c r="C39" s="25" t="inlineStr">
        <is>
          <t>21210010</t>
        </is>
      </c>
      <c r="D39" s="31" t="inlineStr">
        <is>
          <t>Hutang Pajak PPh 21</t>
        </is>
      </c>
      <c r="E39" s="31" t="inlineStr">
        <is>
          <t>Pasiva Terkini</t>
        </is>
      </c>
      <c r="F39" s="32" t="n"/>
      <c r="G39" s="32" t="n"/>
      <c r="H39" s="31">
        <f t="array" ref="H39">_xlfn.XLOOKUP(account.account[account_type],account.account.account_type[name],account.account.account_type[npl group name level 2])</f>
        <v/>
      </c>
      <c r="I39" s="31">
        <f t="array" ref="I39">_xlfn.XLOOKUP(account.account[account_type],account.account.account_type[name],account.account.account_type[npl group name level 3])</f>
        <v/>
      </c>
      <c r="J39" s="31">
        <f>CONCATENATE(C39," ",D39)</f>
        <v/>
      </c>
      <c r="K39" s="30" t="b">
        <v>1</v>
      </c>
      <c r="L39" s="30" t="b">
        <v>1</v>
      </c>
      <c r="M39" s="32" t="n"/>
      <c r="N39" s="32" t="n"/>
    </row>
    <row r="40">
      <c r="A40" s="31" t="inlineStr">
        <is>
          <t>account.1_l10n_id_21210020</t>
        </is>
      </c>
      <c r="B40" s="32" t="n">
        <v>39</v>
      </c>
      <c r="C40" s="25" t="inlineStr">
        <is>
          <t>21210020</t>
        </is>
      </c>
      <c r="D40" s="31" t="inlineStr">
        <is>
          <t>Hutang Pajak PPh 22</t>
        </is>
      </c>
      <c r="E40" s="31" t="inlineStr">
        <is>
          <t>Pasiva Terkini</t>
        </is>
      </c>
      <c r="F40" s="32" t="n"/>
      <c r="G40" s="32" t="n"/>
      <c r="H40" s="31">
        <f t="array" ref="H40">_xlfn.XLOOKUP(account.account[account_type],account.account.account_type[name],account.account.account_type[npl group name level 2])</f>
        <v/>
      </c>
      <c r="I40" s="31">
        <f t="array" ref="I40">_xlfn.XLOOKUP(account.account[account_type],account.account.account_type[name],account.account.account_type[npl group name level 3])</f>
        <v/>
      </c>
      <c r="J40" s="31">
        <f>CONCATENATE(C40," ",D40)</f>
        <v/>
      </c>
      <c r="K40" s="30" t="b">
        <v>1</v>
      </c>
      <c r="L40" s="30" t="b">
        <v>1</v>
      </c>
      <c r="M40" s="32" t="n"/>
      <c r="N40" s="32" t="n"/>
    </row>
    <row r="41">
      <c r="A41" s="31" t="inlineStr">
        <is>
          <t>account.1_l10n_id_21210030</t>
        </is>
      </c>
      <c r="B41" s="32" t="n">
        <v>40</v>
      </c>
      <c r="C41" s="25" t="inlineStr">
        <is>
          <t>21210030</t>
        </is>
      </c>
      <c r="D41" s="31" t="inlineStr">
        <is>
          <t>Hutang Pajak PPh 23</t>
        </is>
      </c>
      <c r="E41" s="31" t="inlineStr">
        <is>
          <t>Pasiva Terkini</t>
        </is>
      </c>
      <c r="F41" s="32" t="n"/>
      <c r="G41" s="32" t="n"/>
      <c r="H41" s="31">
        <f t="array" ref="H41">_xlfn.XLOOKUP(account.account[account_type],account.account.account_type[name],account.account.account_type[npl group name level 2])</f>
        <v/>
      </c>
      <c r="I41" s="31">
        <f t="array" ref="I41">_xlfn.XLOOKUP(account.account[account_type],account.account.account_type[name],account.account.account_type[npl group name level 3])</f>
        <v/>
      </c>
      <c r="J41" s="31">
        <f>CONCATENATE(C41," ",D41)</f>
        <v/>
      </c>
      <c r="K41" s="30" t="b">
        <v>1</v>
      </c>
      <c r="L41" s="30" t="b">
        <v>1</v>
      </c>
      <c r="M41" s="32" t="n"/>
      <c r="N41" s="32" t="n"/>
    </row>
    <row r="42">
      <c r="A42" s="31" t="inlineStr">
        <is>
          <t>account.1_l10n_id_21210040</t>
        </is>
      </c>
      <c r="B42" s="32" t="n">
        <v>41</v>
      </c>
      <c r="C42" s="25" t="inlineStr">
        <is>
          <t>21210040</t>
        </is>
      </c>
      <c r="D42" s="31" t="inlineStr">
        <is>
          <t>Hutang Pajak PPh 25</t>
        </is>
      </c>
      <c r="E42" s="31" t="inlineStr">
        <is>
          <t>Pasiva Terkini</t>
        </is>
      </c>
      <c r="F42" s="32" t="n"/>
      <c r="G42" s="32" t="n"/>
      <c r="H42" s="31">
        <f t="array" ref="H42">_xlfn.XLOOKUP(account.account[account_type],account.account.account_type[name],account.account.account_type[npl group name level 2])</f>
        <v/>
      </c>
      <c r="I42" s="31">
        <f t="array" ref="I42">_xlfn.XLOOKUP(account.account[account_type],account.account.account_type[name],account.account.account_type[npl group name level 3])</f>
        <v/>
      </c>
      <c r="J42" s="31">
        <f>CONCATENATE(C42," ",D42)</f>
        <v/>
      </c>
      <c r="K42" s="30" t="b">
        <v>1</v>
      </c>
      <c r="L42" s="30" t="b">
        <v>1</v>
      </c>
      <c r="M42" s="32" t="n"/>
      <c r="N42" s="32" t="n"/>
    </row>
    <row r="43">
      <c r="A43" s="31" t="inlineStr">
        <is>
          <t>account.1_l10n_id_21210050</t>
        </is>
      </c>
      <c r="B43" s="32" t="n">
        <v>42</v>
      </c>
      <c r="C43" s="25" t="inlineStr">
        <is>
          <t>21210050</t>
        </is>
      </c>
      <c r="D43" s="31" t="inlineStr">
        <is>
          <t>Hutang Pajak Pasal 4 (2)</t>
        </is>
      </c>
      <c r="E43" s="31" t="inlineStr">
        <is>
          <t>Pasiva Terkini</t>
        </is>
      </c>
      <c r="F43" s="32" t="n"/>
      <c r="G43" s="32" t="n"/>
      <c r="H43" s="31">
        <f t="array" ref="H43">_xlfn.XLOOKUP(account.account[account_type],account.account.account_type[name],account.account.account_type[npl group name level 2])</f>
        <v/>
      </c>
      <c r="I43" s="31">
        <f t="array" ref="I43">_xlfn.XLOOKUP(account.account[account_type],account.account.account_type[name],account.account.account_type[npl group name level 3])</f>
        <v/>
      </c>
      <c r="J43" s="31">
        <f>CONCATENATE(C43," ",D43)</f>
        <v/>
      </c>
      <c r="K43" s="30" t="b">
        <v>1</v>
      </c>
      <c r="L43" s="30" t="b">
        <v>1</v>
      </c>
      <c r="M43" s="32" t="n"/>
      <c r="N43" s="32" t="n"/>
    </row>
    <row r="44">
      <c r="A44" s="31" t="inlineStr">
        <is>
          <t>account.1_l10n_id_21210060</t>
        </is>
      </c>
      <c r="B44" s="32" t="n">
        <v>43</v>
      </c>
      <c r="C44" s="25" t="inlineStr">
        <is>
          <t>21210060</t>
        </is>
      </c>
      <c r="D44" s="31" t="inlineStr">
        <is>
          <t>Hutang Pajak PPh 26</t>
        </is>
      </c>
      <c r="E44" s="31" t="inlineStr">
        <is>
          <t>Pasiva Terkini</t>
        </is>
      </c>
      <c r="F44" s="32" t="n"/>
      <c r="G44" s="32" t="n"/>
      <c r="H44" s="31">
        <f t="array" ref="H44">_xlfn.XLOOKUP(account.account[account_type],account.account.account_type[name],account.account.account_type[npl group name level 2])</f>
        <v/>
      </c>
      <c r="I44" s="31">
        <f t="array" ref="I44">_xlfn.XLOOKUP(account.account[account_type],account.account.account_type[name],account.account.account_type[npl group name level 3])</f>
        <v/>
      </c>
      <c r="J44" s="31">
        <f>CONCATENATE(C44," ",D44)</f>
        <v/>
      </c>
      <c r="K44" s="30" t="b">
        <v>1</v>
      </c>
      <c r="L44" s="30" t="b">
        <v>1</v>
      </c>
      <c r="M44" s="32" t="n"/>
      <c r="N44" s="32" t="n"/>
    </row>
    <row r="45">
      <c r="A45" s="31" t="inlineStr">
        <is>
          <t>account.1_l10n_id_21221010</t>
        </is>
      </c>
      <c r="B45" s="32" t="n">
        <v>44</v>
      </c>
      <c r="C45" s="25" t="inlineStr">
        <is>
          <t>21221010</t>
        </is>
      </c>
      <c r="D45" s="31" t="inlineStr">
        <is>
          <t>PPN Keluaran</t>
        </is>
      </c>
      <c r="E45" s="31" t="inlineStr">
        <is>
          <t>Pasiva Terkini</t>
        </is>
      </c>
      <c r="F45" s="32" t="n"/>
      <c r="G45" s="32" t="n"/>
      <c r="H45" s="31">
        <f t="array" ref="H45">_xlfn.XLOOKUP(account.account[account_type],account.account.account_type[name],account.account.account_type[npl group name level 2])</f>
        <v/>
      </c>
      <c r="I45" s="31">
        <f t="array" ref="I45">_xlfn.XLOOKUP(account.account[account_type],account.account.account_type[name],account.account.account_type[npl group name level 3])</f>
        <v/>
      </c>
      <c r="J45" s="31">
        <f>CONCATENATE(C45," ",D45)</f>
        <v/>
      </c>
      <c r="K45" s="30" t="b">
        <v>1</v>
      </c>
      <c r="L45" s="30" t="b">
        <v>1</v>
      </c>
      <c r="M45" s="32" t="n"/>
      <c r="N45" s="32" t="inlineStr">
        <is>
          <t>Menampung PPN Keluaran dari transaksi penjualan</t>
        </is>
      </c>
    </row>
    <row r="46">
      <c r="A46" s="31" t="inlineStr">
        <is>
          <t>account.1_l10n_id_22110010</t>
        </is>
      </c>
      <c r="B46" s="32" t="n">
        <v>45</v>
      </c>
      <c r="C46" s="25" t="inlineStr">
        <is>
          <t>22110010</t>
        </is>
      </c>
      <c r="D46" s="31" t="inlineStr">
        <is>
          <t>Hutang Bank</t>
        </is>
      </c>
      <c r="E46" s="31" t="inlineStr">
        <is>
          <t>Pasiva Terkini</t>
        </is>
      </c>
      <c r="F46" s="32" t="n"/>
      <c r="G46" s="32" t="n"/>
      <c r="H46" s="31">
        <f t="array" ref="H46">_xlfn.XLOOKUP(account.account[account_type],account.account.account_type[name],account.account.account_type[npl group name level 2])</f>
        <v/>
      </c>
      <c r="I46" s="31">
        <f t="array" ref="I46">_xlfn.XLOOKUP(account.account[account_type],account.account.account_type[name],account.account.account_type[npl group name level 3])</f>
        <v/>
      </c>
      <c r="J46" s="31">
        <f>CONCATENATE(C46," ",D46)</f>
        <v/>
      </c>
      <c r="K46" s="30" t="b">
        <v>1</v>
      </c>
      <c r="L46" s="30" t="b">
        <v>1</v>
      </c>
      <c r="M46" s="32" t="n"/>
      <c r="N46" s="32" t="n"/>
    </row>
    <row r="47">
      <c r="A47" s="31" t="inlineStr">
        <is>
          <t>account.1_l10n_id_22110020</t>
        </is>
      </c>
      <c r="B47" s="32" t="n">
        <v>46</v>
      </c>
      <c r="C47" s="25" t="inlineStr">
        <is>
          <t>22110020</t>
        </is>
      </c>
      <c r="D47" s="31" t="inlineStr">
        <is>
          <t>Hutang Leasing</t>
        </is>
      </c>
      <c r="E47" s="31" t="inlineStr">
        <is>
          <t>Pasiva Terkini</t>
        </is>
      </c>
      <c r="F47" s="32" t="n"/>
      <c r="G47" s="32" t="n"/>
      <c r="H47" s="31">
        <f t="array" ref="H47">_xlfn.XLOOKUP(account.account[account_type],account.account.account_type[name],account.account.account_type[npl group name level 2])</f>
        <v/>
      </c>
      <c r="I47" s="31">
        <f t="array" ref="I47">_xlfn.XLOOKUP(account.account[account_type],account.account.account_type[name],account.account.account_type[npl group name level 3])</f>
        <v/>
      </c>
      <c r="J47" s="31">
        <f>CONCATENATE(C47," ",D47)</f>
        <v/>
      </c>
      <c r="K47" s="30" t="b">
        <v>1</v>
      </c>
      <c r="L47" s="30" t="b">
        <v>1</v>
      </c>
      <c r="M47" s="32" t="n"/>
      <c r="N47" s="32" t="n"/>
    </row>
    <row r="48">
      <c r="A48" s="31" t="inlineStr">
        <is>
          <t>account.1_l10n_id_25110010</t>
        </is>
      </c>
      <c r="B48" s="32" t="n">
        <v>47</v>
      </c>
      <c r="C48" s="25" t="inlineStr">
        <is>
          <t>25110010</t>
        </is>
      </c>
      <c r="D48" s="31" t="inlineStr">
        <is>
          <t>BYMHD Listrik</t>
        </is>
      </c>
      <c r="E48" s="31" t="inlineStr">
        <is>
          <t>Pasiva Terkini</t>
        </is>
      </c>
      <c r="F48" s="32" t="n"/>
      <c r="G48" s="32" t="n"/>
      <c r="H48" s="31">
        <f t="array" ref="H48">_xlfn.XLOOKUP(account.account[account_type],account.account.account_type[name],account.account.account_type[npl group name level 2])</f>
        <v/>
      </c>
      <c r="I48" s="31">
        <f t="array" ref="I48">_xlfn.XLOOKUP(account.account[account_type],account.account.account_type[name],account.account.account_type[npl group name level 3])</f>
        <v/>
      </c>
      <c r="J48" s="31">
        <f>CONCATENATE(C48," ",D48)</f>
        <v/>
      </c>
      <c r="K48" s="30" t="b">
        <v>1</v>
      </c>
      <c r="L48" s="30" t="b">
        <v>1</v>
      </c>
      <c r="M48" s="32" t="n"/>
      <c r="N48" s="32" t="inlineStr">
        <is>
          <t>Biaya Yang Masih Harus dibayar</t>
        </is>
      </c>
    </row>
    <row r="49">
      <c r="A49" s="31" t="inlineStr">
        <is>
          <t>account.1_l10n_id_25110020</t>
        </is>
      </c>
      <c r="B49" s="32" t="n">
        <v>48</v>
      </c>
      <c r="C49" s="25" t="inlineStr">
        <is>
          <t>25110020</t>
        </is>
      </c>
      <c r="D49" s="31" t="inlineStr">
        <is>
          <t>BYMHD Jamsostek</t>
        </is>
      </c>
      <c r="E49" s="31" t="inlineStr">
        <is>
          <t>Pasiva Terkini</t>
        </is>
      </c>
      <c r="F49" s="32" t="n"/>
      <c r="G49" s="32" t="n"/>
      <c r="H49" s="31">
        <f t="array" ref="H49">_xlfn.XLOOKUP(account.account[account_type],account.account.account_type[name],account.account.account_type[npl group name level 2])</f>
        <v/>
      </c>
      <c r="I49" s="31">
        <f t="array" ref="I49">_xlfn.XLOOKUP(account.account[account_type],account.account.account_type[name],account.account.account_type[npl group name level 3])</f>
        <v/>
      </c>
      <c r="J49" s="31">
        <f>CONCATENATE(C49," ",D49)</f>
        <v/>
      </c>
      <c r="K49" s="30" t="b">
        <v>1</v>
      </c>
      <c r="L49" s="30" t="b">
        <v>1</v>
      </c>
      <c r="M49" s="32" t="n"/>
      <c r="N49" s="32" t="n"/>
    </row>
    <row r="50">
      <c r="A50" s="31" t="inlineStr">
        <is>
          <t>account.1_l10n_id_25110030</t>
        </is>
      </c>
      <c r="B50" s="32" t="n">
        <v>49</v>
      </c>
      <c r="C50" s="25" t="inlineStr">
        <is>
          <t>25110030</t>
        </is>
      </c>
      <c r="D50" s="31" t="inlineStr">
        <is>
          <t>BYMHD Air</t>
        </is>
      </c>
      <c r="E50" s="31" t="inlineStr">
        <is>
          <t>Pasiva Terkini</t>
        </is>
      </c>
      <c r="F50" s="32" t="n"/>
      <c r="G50" s="32" t="n"/>
      <c r="H50" s="31">
        <f t="array" ref="H50">_xlfn.XLOOKUP(account.account[account_type],account.account.account_type[name],account.account.account_type[npl group name level 2])</f>
        <v/>
      </c>
      <c r="I50" s="31">
        <f t="array" ref="I50">_xlfn.XLOOKUP(account.account[account_type],account.account.account_type[name],account.account.account_type[npl group name level 3])</f>
        <v/>
      </c>
      <c r="J50" s="31">
        <f>CONCATENATE(C50," ",D50)</f>
        <v/>
      </c>
      <c r="K50" s="30" t="b">
        <v>1</v>
      </c>
      <c r="L50" s="30" t="b">
        <v>1</v>
      </c>
      <c r="M50" s="32" t="n"/>
      <c r="N50" s="32" t="n"/>
    </row>
    <row r="51">
      <c r="A51" s="31" t="inlineStr">
        <is>
          <t>account.1_l10n_id_25110040</t>
        </is>
      </c>
      <c r="B51" s="32" t="n">
        <v>50</v>
      </c>
      <c r="C51" s="25" t="inlineStr">
        <is>
          <t>25110040</t>
        </is>
      </c>
      <c r="D51" s="31" t="inlineStr">
        <is>
          <t>BYMHD Telepon</t>
        </is>
      </c>
      <c r="E51" s="31" t="inlineStr">
        <is>
          <t>Pasiva Terkini</t>
        </is>
      </c>
      <c r="F51" s="32" t="n"/>
      <c r="G51" s="32" t="n"/>
      <c r="H51" s="31">
        <f t="array" ref="H51">_xlfn.XLOOKUP(account.account[account_type],account.account.account_type[name],account.account.account_type[npl group name level 2])</f>
        <v/>
      </c>
      <c r="I51" s="31">
        <f t="array" ref="I51">_xlfn.XLOOKUP(account.account[account_type],account.account.account_type[name],account.account.account_type[npl group name level 3])</f>
        <v/>
      </c>
      <c r="J51" s="31">
        <f>CONCATENATE(C51," ",D51)</f>
        <v/>
      </c>
      <c r="K51" s="30" t="b">
        <v>1</v>
      </c>
      <c r="L51" s="30" t="b">
        <v>1</v>
      </c>
      <c r="M51" s="32" t="n"/>
      <c r="N51" s="32" t="n"/>
    </row>
    <row r="52">
      <c r="A52" s="31" t="inlineStr">
        <is>
          <t>account.1_l10n_id_25110050</t>
        </is>
      </c>
      <c r="B52" s="32" t="n">
        <v>51</v>
      </c>
      <c r="C52" s="25" t="inlineStr">
        <is>
          <t>25110050</t>
        </is>
      </c>
      <c r="D52" s="31" t="inlineStr">
        <is>
          <t>BYMHD Jasa Pengelola Keamanan</t>
        </is>
      </c>
      <c r="E52" s="31" t="inlineStr">
        <is>
          <t>Pasiva Terkini</t>
        </is>
      </c>
      <c r="F52" s="32" t="n"/>
      <c r="G52" s="32" t="n"/>
      <c r="H52" s="31">
        <f t="array" ref="H52">_xlfn.XLOOKUP(account.account[account_type],account.account.account_type[name],account.account.account_type[npl group name level 2])</f>
        <v/>
      </c>
      <c r="I52" s="31">
        <f t="array" ref="I52">_xlfn.XLOOKUP(account.account[account_type],account.account.account_type[name],account.account.account_type[npl group name level 3])</f>
        <v/>
      </c>
      <c r="J52" s="31">
        <f>CONCATENATE(C52," ",D52)</f>
        <v/>
      </c>
      <c r="K52" s="30" t="b">
        <v>1</v>
      </c>
      <c r="L52" s="30" t="b">
        <v>1</v>
      </c>
      <c r="M52" s="32" t="n"/>
      <c r="N52" s="32" t="n"/>
    </row>
    <row r="53">
      <c r="A53" s="31" t="inlineStr">
        <is>
          <t>account.1_l10n_id_25110060</t>
        </is>
      </c>
      <c r="B53" s="32" t="n">
        <v>52</v>
      </c>
      <c r="C53" s="25" t="inlineStr">
        <is>
          <t>25110060</t>
        </is>
      </c>
      <c r="D53" s="31" t="inlineStr">
        <is>
          <t>BYMHD Bank</t>
        </is>
      </c>
      <c r="E53" s="31" t="inlineStr">
        <is>
          <t>Pasiva Terkini</t>
        </is>
      </c>
      <c r="F53" s="32" t="n"/>
      <c r="G53" s="32" t="n"/>
      <c r="H53" s="31">
        <f t="array" ref="H53">_xlfn.XLOOKUP(account.account[account_type],account.account.account_type[name],account.account.account_type[npl group name level 2])</f>
        <v/>
      </c>
      <c r="I53" s="31">
        <f t="array" ref="I53">_xlfn.XLOOKUP(account.account[account_type],account.account.account_type[name],account.account.account_type[npl group name level 3])</f>
        <v/>
      </c>
      <c r="J53" s="31">
        <f>CONCATENATE(C53," ",D53)</f>
        <v/>
      </c>
      <c r="K53" s="30" t="b">
        <v>1</v>
      </c>
      <c r="L53" s="30" t="b">
        <v>1</v>
      </c>
      <c r="M53" s="32" t="n"/>
      <c r="N53" s="32" t="n"/>
    </row>
    <row r="54">
      <c r="A54" s="31" t="inlineStr">
        <is>
          <t>account.1_l10n_id_25110070</t>
        </is>
      </c>
      <c r="B54" s="32" t="n">
        <v>53</v>
      </c>
      <c r="C54" s="25" t="inlineStr">
        <is>
          <t>25110070</t>
        </is>
      </c>
      <c r="D54" s="31" t="inlineStr">
        <is>
          <t>BYMHD PBB</t>
        </is>
      </c>
      <c r="E54" s="31" t="inlineStr">
        <is>
          <t>Pasiva Terkini</t>
        </is>
      </c>
      <c r="F54" s="32" t="n"/>
      <c r="G54" s="32" t="n"/>
      <c r="H54" s="31">
        <f t="array" ref="H54">_xlfn.XLOOKUP(account.account[account_type],account.account.account_type[name],account.account.account_type[npl group name level 2])</f>
        <v/>
      </c>
      <c r="I54" s="31">
        <f t="array" ref="I54">_xlfn.XLOOKUP(account.account[account_type],account.account.account_type[name],account.account.account_type[npl group name level 3])</f>
        <v/>
      </c>
      <c r="J54" s="31">
        <f>CONCATENATE(C54," ",D54)</f>
        <v/>
      </c>
      <c r="K54" s="30" t="b">
        <v>1</v>
      </c>
      <c r="L54" s="30" t="b">
        <v>1</v>
      </c>
      <c r="M54" s="32" t="n"/>
      <c r="N54" s="32" t="n"/>
    </row>
    <row r="55">
      <c r="A55" s="31" t="inlineStr">
        <is>
          <t>account.1_l10n_id_25110080</t>
        </is>
      </c>
      <c r="B55" s="32" t="n">
        <v>54</v>
      </c>
      <c r="C55" s="25" t="inlineStr">
        <is>
          <t>25110080</t>
        </is>
      </c>
      <c r="D55" s="31" t="inlineStr">
        <is>
          <t>BYMHD Izin Usaha</t>
        </is>
      </c>
      <c r="E55" s="31" t="inlineStr">
        <is>
          <t>Pasiva Terkini</t>
        </is>
      </c>
      <c r="F55" s="32" t="n"/>
      <c r="G55" s="32" t="n"/>
      <c r="H55" s="31">
        <f t="array" ref="H55">_xlfn.XLOOKUP(account.account[account_type],account.account.account_type[name],account.account.account_type[npl group name level 2])</f>
        <v/>
      </c>
      <c r="I55" s="31">
        <f t="array" ref="I55">_xlfn.XLOOKUP(account.account[account_type],account.account.account_type[name],account.account.account_type[npl group name level 3])</f>
        <v/>
      </c>
      <c r="J55" s="31">
        <f>CONCATENATE(C55," ",D55)</f>
        <v/>
      </c>
      <c r="K55" s="30" t="b">
        <v>1</v>
      </c>
      <c r="L55" s="30" t="b">
        <v>1</v>
      </c>
      <c r="M55" s="32" t="n"/>
      <c r="N55" s="32" t="n"/>
    </row>
    <row r="56">
      <c r="A56" s="31" t="inlineStr">
        <is>
          <t>account.1_l10n_id_25110090</t>
        </is>
      </c>
      <c r="B56" s="32" t="n">
        <v>55</v>
      </c>
      <c r="C56" s="25" t="inlineStr">
        <is>
          <t>25110090</t>
        </is>
      </c>
      <c r="D56" s="31" t="inlineStr">
        <is>
          <t>BYMHD Asuransi</t>
        </is>
      </c>
      <c r="E56" s="31" t="inlineStr">
        <is>
          <t>Pasiva Terkini</t>
        </is>
      </c>
      <c r="F56" s="32" t="n"/>
      <c r="G56" s="32" t="n"/>
      <c r="H56" s="31">
        <f t="array" ref="H56">_xlfn.XLOOKUP(account.account[account_type],account.account.account_type[name],account.account.account_type[npl group name level 2])</f>
        <v/>
      </c>
      <c r="I56" s="31">
        <f t="array" ref="I56">_xlfn.XLOOKUP(account.account[account_type],account.account.account_type[name],account.account.account_type[npl group name level 3])</f>
        <v/>
      </c>
      <c r="J56" s="31">
        <f>CONCATENATE(C56," ",D56)</f>
        <v/>
      </c>
      <c r="K56" s="30" t="b">
        <v>1</v>
      </c>
      <c r="L56" s="30" t="b">
        <v>1</v>
      </c>
      <c r="M56" s="32" t="n"/>
      <c r="N56" s="32" t="n"/>
    </row>
    <row r="57">
      <c r="A57" s="31" t="inlineStr">
        <is>
          <t>account.1_l10n_id_25110100</t>
        </is>
      </c>
      <c r="B57" s="32" t="n">
        <v>56</v>
      </c>
      <c r="C57" s="25" t="inlineStr">
        <is>
          <t>25110100</t>
        </is>
      </c>
      <c r="D57" s="31" t="inlineStr">
        <is>
          <t>BYMHD Pendidikan dan Latihan</t>
        </is>
      </c>
      <c r="E57" s="31" t="inlineStr">
        <is>
          <t>Pasiva Terkini</t>
        </is>
      </c>
      <c r="F57" s="32" t="n"/>
      <c r="G57" s="32" t="n"/>
      <c r="H57" s="31">
        <f t="array" ref="H57">_xlfn.XLOOKUP(account.account[account_type],account.account.account_type[name],account.account.account_type[npl group name level 2])</f>
        <v/>
      </c>
      <c r="I57" s="31">
        <f t="array" ref="I57">_xlfn.XLOOKUP(account.account[account_type],account.account.account_type[name],account.account.account_type[npl group name level 3])</f>
        <v/>
      </c>
      <c r="J57" s="31">
        <f>CONCATENATE(C57," ",D57)</f>
        <v/>
      </c>
      <c r="K57" s="30" t="b">
        <v>1</v>
      </c>
      <c r="L57" s="30" t="b">
        <v>1</v>
      </c>
      <c r="M57" s="32" t="n"/>
      <c r="N57" s="32" t="n"/>
    </row>
    <row r="58">
      <c r="A58" s="31" t="inlineStr">
        <is>
          <t>account.1_l10n_id_25110110</t>
        </is>
      </c>
      <c r="B58" s="32" t="n">
        <v>57</v>
      </c>
      <c r="C58" s="25" t="inlineStr">
        <is>
          <t>25110110</t>
        </is>
      </c>
      <c r="D58" s="31" t="inlineStr">
        <is>
          <t>BYMHD Jaminan Kesehatan/BPJS</t>
        </is>
      </c>
      <c r="E58" s="31" t="inlineStr">
        <is>
          <t>Pasiva Terkini</t>
        </is>
      </c>
      <c r="F58" s="32" t="n"/>
      <c r="G58" s="32" t="n"/>
      <c r="H58" s="31">
        <f t="array" ref="H58">_xlfn.XLOOKUP(account.account[account_type],account.account.account_type[name],account.account.account_type[npl group name level 2])</f>
        <v/>
      </c>
      <c r="I58" s="31">
        <f t="array" ref="I58">_xlfn.XLOOKUP(account.account[account_type],account.account.account_type[name],account.account.account_type[npl group name level 3])</f>
        <v/>
      </c>
      <c r="J58" s="31">
        <f>CONCATENATE(C58," ",D58)</f>
        <v/>
      </c>
      <c r="K58" s="30" t="b">
        <v>1</v>
      </c>
      <c r="L58" s="30" t="b">
        <v>1</v>
      </c>
      <c r="M58" s="32" t="n"/>
      <c r="N58" s="32" t="n"/>
    </row>
    <row r="59">
      <c r="A59" s="31" t="inlineStr">
        <is>
          <t>account.1_l10n_id_28110010</t>
        </is>
      </c>
      <c r="B59" s="32" t="n">
        <v>58</v>
      </c>
      <c r="C59" s="25" t="inlineStr">
        <is>
          <t>28110010</t>
        </is>
      </c>
      <c r="D59" s="31" t="inlineStr">
        <is>
          <t>Uang Muka Penjualan</t>
        </is>
      </c>
      <c r="E59" s="31" t="inlineStr">
        <is>
          <t>Pasiva Terkini</t>
        </is>
      </c>
      <c r="F59" s="32" t="n"/>
      <c r="G59" s="32" t="n"/>
      <c r="H59" s="31">
        <f t="array" ref="H59">_xlfn.XLOOKUP(account.account[account_type],account.account.account_type[name],account.account.account_type[npl group name level 2])</f>
        <v/>
      </c>
      <c r="I59" s="31">
        <f t="array" ref="I59">_xlfn.XLOOKUP(account.account[account_type],account.account.account_type[name],account.account.account_type[npl group name level 3])</f>
        <v/>
      </c>
      <c r="J59" s="31">
        <f>CONCATENATE(C59," ",D59)</f>
        <v/>
      </c>
      <c r="K59" s="30" t="b">
        <v>1</v>
      </c>
      <c r="L59" s="30" t="b">
        <v>1</v>
      </c>
      <c r="M59" s="32" t="n"/>
      <c r="N59" s="32" t="n"/>
    </row>
    <row r="60">
      <c r="A60" s="31" t="inlineStr">
        <is>
          <t>account.1_l10n_id_28110020</t>
        </is>
      </c>
      <c r="B60" s="32" t="n">
        <v>59</v>
      </c>
      <c r="C60" s="25" t="inlineStr">
        <is>
          <t>28110020</t>
        </is>
      </c>
      <c r="D60" s="31" t="inlineStr">
        <is>
          <t>Deposit Pelanggan</t>
        </is>
      </c>
      <c r="E60" s="31" t="inlineStr">
        <is>
          <t>Pasiva Terkini</t>
        </is>
      </c>
      <c r="F60" s="32" t="n"/>
      <c r="G60" s="32" t="n"/>
      <c r="H60" s="31">
        <f t="array" ref="H60">_xlfn.XLOOKUP(account.account[account_type],account.account.account_type[name],account.account.account_type[npl group name level 2])</f>
        <v/>
      </c>
      <c r="I60" s="31">
        <f t="array" ref="I60">_xlfn.XLOOKUP(account.account[account_type],account.account.account_type[name],account.account.account_type[npl group name level 3])</f>
        <v/>
      </c>
      <c r="J60" s="31">
        <f>CONCATENATE(C60," ",D60)</f>
        <v/>
      </c>
      <c r="K60" s="30" t="b">
        <v>1</v>
      </c>
      <c r="L60" s="30" t="b">
        <v>1</v>
      </c>
      <c r="M60" s="32" t="n"/>
      <c r="N60" s="32" t="n"/>
    </row>
    <row r="61">
      <c r="A61" s="31" t="inlineStr">
        <is>
          <t>account.1_l10n_id_28110030</t>
        </is>
      </c>
      <c r="B61" s="32" t="n">
        <v>60</v>
      </c>
      <c r="C61" s="25" t="inlineStr">
        <is>
          <t>28110030</t>
        </is>
      </c>
      <c r="D61" s="31" t="inlineStr">
        <is>
          <t>Deferred Revenue</t>
        </is>
      </c>
      <c r="E61" s="31" t="inlineStr">
        <is>
          <t>Pasiva Terkini</t>
        </is>
      </c>
      <c r="F61" s="32" t="n"/>
      <c r="G61" s="32" t="n"/>
      <c r="H61" s="31">
        <f t="array" ref="H61">_xlfn.XLOOKUP(account.account[account_type],account.account.account_type[name],account.account.account_type[npl group name level 2])</f>
        <v/>
      </c>
      <c r="I61" s="31">
        <f t="array" ref="I61">_xlfn.XLOOKUP(account.account[account_type],account.account.account_type[name],account.account.account_type[npl group name level 3])</f>
        <v/>
      </c>
      <c r="J61" s="31">
        <f>CONCATENATE(C61," ",D61)</f>
        <v/>
      </c>
      <c r="K61" s="30" t="b">
        <v>1</v>
      </c>
      <c r="L61" s="30" t="b">
        <v>1</v>
      </c>
      <c r="M61" s="32" t="n"/>
      <c r="N61" s="32" t="n"/>
    </row>
    <row r="62">
      <c r="A62" s="31" t="inlineStr">
        <is>
          <t>account.1_l10n_id_29000000</t>
        </is>
      </c>
      <c r="B62" s="32" t="n">
        <v>61</v>
      </c>
      <c r="C62" s="25" t="inlineStr">
        <is>
          <t>29000000</t>
        </is>
      </c>
      <c r="D62" s="31" t="inlineStr">
        <is>
          <t>Stok Interim</t>
        </is>
      </c>
      <c r="E62" s="31" t="inlineStr">
        <is>
          <t>Pasiva Terkini</t>
        </is>
      </c>
      <c r="F62" s="32" t="n"/>
      <c r="G62" s="32" t="n"/>
      <c r="H62" s="31">
        <f t="array" ref="H62">_xlfn.XLOOKUP(account.account[account_type],account.account.account_type[name],account.account.account_type[npl group name level 2])</f>
        <v/>
      </c>
      <c r="I62" s="31">
        <f t="array" ref="I62">_xlfn.XLOOKUP(account.account[account_type],account.account.account_type[name],account.account.account_type[npl group name level 3])</f>
        <v/>
      </c>
      <c r="J62" s="31">
        <f>CONCATENATE(C62," ",D62)</f>
        <v/>
      </c>
      <c r="K62" s="30" t="b">
        <v>1</v>
      </c>
      <c r="L62" s="30" t="b">
        <v>1</v>
      </c>
      <c r="M62" s="32" t="n"/>
      <c r="N62" s="32" t="n"/>
    </row>
    <row r="63">
      <c r="A63" s="31" t="inlineStr">
        <is>
          <t>account.1_l10n_id_31100010</t>
        </is>
      </c>
      <c r="B63" s="32" t="n">
        <v>62</v>
      </c>
      <c r="C63" s="25" t="inlineStr">
        <is>
          <t>31100010</t>
        </is>
      </c>
      <c r="D63" s="31" t="inlineStr">
        <is>
          <t>Modal Dasar</t>
        </is>
      </c>
      <c r="E63" s="31" t="inlineStr">
        <is>
          <t>Ekuitas</t>
        </is>
      </c>
      <c r="F63" s="32" t="n"/>
      <c r="G63" s="32" t="n"/>
      <c r="H63" s="31">
        <f t="array" ref="H63">_xlfn.XLOOKUP(account.account[account_type],account.account.account_type[name],account.account.account_type[npl group name level 2])</f>
        <v/>
      </c>
      <c r="I63" s="31">
        <f t="array" ref="I63">_xlfn.XLOOKUP(account.account[account_type],account.account.account_type[name],account.account.account_type[npl group name level 3])</f>
        <v/>
      </c>
      <c r="J63" s="31">
        <f>CONCATENATE(C63," ",D63)</f>
        <v/>
      </c>
      <c r="K63" s="30" t="b">
        <v>1</v>
      </c>
      <c r="L63" s="30" t="b">
        <v>1</v>
      </c>
      <c r="M63" s="32" t="n"/>
      <c r="N63" s="32" t="n"/>
    </row>
    <row r="64">
      <c r="A64" s="31" t="inlineStr">
        <is>
          <t>account.1_l10n_id_31100020</t>
        </is>
      </c>
      <c r="B64" s="32" t="n">
        <v>63</v>
      </c>
      <c r="C64" s="25" t="inlineStr">
        <is>
          <t>31100020</t>
        </is>
      </c>
      <c r="D64" s="31" t="inlineStr">
        <is>
          <t>Modal Yang Disetor</t>
        </is>
      </c>
      <c r="E64" s="31" t="inlineStr">
        <is>
          <t>Ekuitas</t>
        </is>
      </c>
      <c r="F64" s="32" t="n"/>
      <c r="G64" s="32" t="n"/>
      <c r="H64" s="31">
        <f t="array" ref="H64">_xlfn.XLOOKUP(account.account[account_type],account.account.account_type[name],account.account.account_type[npl group name level 2])</f>
        <v/>
      </c>
      <c r="I64" s="31">
        <f t="array" ref="I64">_xlfn.XLOOKUP(account.account[account_type],account.account.account_type[name],account.account.account_type[npl group name level 3])</f>
        <v/>
      </c>
      <c r="J64" s="31">
        <f>CONCATENATE(C64," ",D64)</f>
        <v/>
      </c>
      <c r="K64" s="30" t="b">
        <v>1</v>
      </c>
      <c r="L64" s="30" t="b">
        <v>1</v>
      </c>
      <c r="M64" s="32" t="n"/>
      <c r="N64" s="32" t="n"/>
    </row>
    <row r="65">
      <c r="A65" s="31" t="inlineStr">
        <is>
          <t>account.1_l10n_id_31100030</t>
        </is>
      </c>
      <c r="B65" s="32" t="n">
        <v>64</v>
      </c>
      <c r="C65" s="25" t="inlineStr">
        <is>
          <t>31100030</t>
        </is>
      </c>
      <c r="D65" s="31" t="inlineStr">
        <is>
          <t>Modal Yang Belum Disetor</t>
        </is>
      </c>
      <c r="E65" s="31" t="inlineStr">
        <is>
          <t>Ekuitas</t>
        </is>
      </c>
      <c r="F65" s="32" t="n"/>
      <c r="G65" s="32" t="n"/>
      <c r="H65" s="31">
        <f t="array" ref="H65">_xlfn.XLOOKUP(account.account[account_type],account.account.account_type[name],account.account.account_type[npl group name level 2])</f>
        <v/>
      </c>
      <c r="I65" s="31">
        <f t="array" ref="I65">_xlfn.XLOOKUP(account.account[account_type],account.account.account_type[name],account.account.account_type[npl group name level 3])</f>
        <v/>
      </c>
      <c r="J65" s="31">
        <f>CONCATENATE(C65," ",D65)</f>
        <v/>
      </c>
      <c r="K65" s="30" t="b">
        <v>1</v>
      </c>
      <c r="L65" s="30" t="b">
        <v>1</v>
      </c>
      <c r="M65" s="32" t="n"/>
      <c r="N65" s="32" t="n"/>
    </row>
    <row r="66">
      <c r="A66" s="31" t="inlineStr">
        <is>
          <t>account.1_l10n_id_31100040</t>
        </is>
      </c>
      <c r="B66" s="32" t="n">
        <v>65</v>
      </c>
      <c r="C66" s="25" t="inlineStr">
        <is>
          <t>31100040</t>
        </is>
      </c>
      <c r="D66" s="31" t="inlineStr">
        <is>
          <t>Prive (Pengambilan Pribadi)</t>
        </is>
      </c>
      <c r="E66" s="31" t="inlineStr">
        <is>
          <t>Ekuitas</t>
        </is>
      </c>
      <c r="F66" s="32" t="n"/>
      <c r="G66" s="32" t="n"/>
      <c r="H66" s="31">
        <f t="array" ref="H66">_xlfn.XLOOKUP(account.account[account_type],account.account.account_type[name],account.account.account_type[npl group name level 2])</f>
        <v/>
      </c>
      <c r="I66" s="31">
        <f t="array" ref="I66">_xlfn.XLOOKUP(account.account[account_type],account.account.account_type[name],account.account.account_type[npl group name level 3])</f>
        <v/>
      </c>
      <c r="J66" s="31">
        <f>CONCATENATE(C66," ",D66)</f>
        <v/>
      </c>
      <c r="K66" s="30" t="b">
        <v>1</v>
      </c>
      <c r="L66" s="30" t="b">
        <v>1</v>
      </c>
      <c r="M66" s="32" t="n"/>
      <c r="N66" s="32" t="n"/>
    </row>
    <row r="67">
      <c r="A67" s="31" t="inlineStr">
        <is>
          <t>account.1_l10n_id_31210010</t>
        </is>
      </c>
      <c r="B67" s="32" t="n">
        <v>66</v>
      </c>
      <c r="C67" s="25" t="inlineStr">
        <is>
          <t>31210010</t>
        </is>
      </c>
      <c r="D67" s="31" t="inlineStr">
        <is>
          <t>Cadangan Modal</t>
        </is>
      </c>
      <c r="E67" s="31" t="inlineStr">
        <is>
          <t>Ekuitas</t>
        </is>
      </c>
      <c r="F67" s="32" t="n"/>
      <c r="G67" s="32" t="n"/>
      <c r="H67" s="31">
        <f t="array" ref="H67">_xlfn.XLOOKUP(account.account[account_type],account.account.account_type[name],account.account.account_type[npl group name level 2])</f>
        <v/>
      </c>
      <c r="I67" s="31">
        <f t="array" ref="I67">_xlfn.XLOOKUP(account.account[account_type],account.account.account_type[name],account.account.account_type[npl group name level 3])</f>
        <v/>
      </c>
      <c r="J67" s="31">
        <f>CONCATENATE(C67," ",D67)</f>
        <v/>
      </c>
      <c r="K67" s="30" t="b">
        <v>1</v>
      </c>
      <c r="L67" s="30" t="b">
        <v>1</v>
      </c>
      <c r="M67" s="32" t="n"/>
      <c r="N67" s="32" t="n"/>
    </row>
    <row r="68">
      <c r="A68" s="31" t="inlineStr">
        <is>
          <t>account.1_l10n_id_31510010</t>
        </is>
      </c>
      <c r="B68" s="32" t="n">
        <v>67</v>
      </c>
      <c r="C68" s="25" t="inlineStr">
        <is>
          <t>31510010</t>
        </is>
      </c>
      <c r="D68" s="31" t="inlineStr">
        <is>
          <t>Laba Rugi Tahun Lalu</t>
        </is>
      </c>
      <c r="E68" s="31" t="inlineStr">
        <is>
          <t>Ekuitas</t>
        </is>
      </c>
      <c r="F68" s="32" t="n"/>
      <c r="G68" s="32" t="n"/>
      <c r="H68" s="31">
        <f t="array" ref="H68">_xlfn.XLOOKUP(account.account[account_type],account.account.account_type[name],account.account.account_type[npl group name level 2])</f>
        <v/>
      </c>
      <c r="I68" s="31">
        <f t="array" ref="I68">_xlfn.XLOOKUP(account.account[account_type],account.account.account_type[name],account.account.account_type[npl group name level 3])</f>
        <v/>
      </c>
      <c r="J68" s="31">
        <f>CONCATENATE(C68," ",D68)</f>
        <v/>
      </c>
      <c r="K68" s="30" t="b">
        <v>1</v>
      </c>
      <c r="L68" s="30" t="b">
        <v>1</v>
      </c>
      <c r="M68" s="32" t="n"/>
      <c r="N68" s="32" t="n"/>
    </row>
    <row r="69">
      <c r="A69" s="31" t="inlineStr">
        <is>
          <t>account.1_l10n_id_31510020</t>
        </is>
      </c>
      <c r="B69" s="32" t="n">
        <v>68</v>
      </c>
      <c r="C69" s="25" t="inlineStr">
        <is>
          <t>31510020</t>
        </is>
      </c>
      <c r="D69" s="31" t="inlineStr">
        <is>
          <t>Laba Rugi Tahun Berjalan</t>
        </is>
      </c>
      <c r="E69" s="31" t="inlineStr">
        <is>
          <t>Ekuitas</t>
        </is>
      </c>
      <c r="F69" s="32" t="n"/>
      <c r="G69" s="32" t="n"/>
      <c r="H69" s="31">
        <f t="array" ref="H69">_xlfn.XLOOKUP(account.account[account_type],account.account.account_type[name],account.account.account_type[npl group name level 2])</f>
        <v/>
      </c>
      <c r="I69" s="31">
        <f t="array" ref="I69">_xlfn.XLOOKUP(account.account[account_type],account.account.account_type[name],account.account.account_type[npl group name level 3])</f>
        <v/>
      </c>
      <c r="J69" s="31">
        <f>CONCATENATE(C69," ",D69)</f>
        <v/>
      </c>
      <c r="K69" s="30" t="b">
        <v>1</v>
      </c>
      <c r="L69" s="30" t="b">
        <v>1</v>
      </c>
      <c r="M69" s="32" t="n"/>
      <c r="N69" s="32" t="n"/>
    </row>
    <row r="70">
      <c r="A70" s="31" t="inlineStr">
        <is>
          <t>account.1_l10n_id_39000000</t>
        </is>
      </c>
      <c r="B70" s="32" t="n">
        <v>69</v>
      </c>
      <c r="C70" s="25" t="inlineStr">
        <is>
          <t>39000000</t>
        </is>
      </c>
      <c r="D70" s="31" t="inlineStr">
        <is>
          <t>Historical Balance</t>
        </is>
      </c>
      <c r="E70" s="31" t="inlineStr">
        <is>
          <t>Ekuitas</t>
        </is>
      </c>
      <c r="F70" s="32" t="n"/>
      <c r="G70" s="32" t="n"/>
      <c r="H70" s="31">
        <f t="array" ref="H70">_xlfn.XLOOKUP(account.account[account_type],account.account.account_type[name],account.account.account_type[npl group name level 2])</f>
        <v/>
      </c>
      <c r="I70" s="31">
        <f t="array" ref="I70">_xlfn.XLOOKUP(account.account[account_type],account.account.account_type[name],account.account.account_type[npl group name level 3])</f>
        <v/>
      </c>
      <c r="J70" s="31">
        <f>CONCATENATE(C70," ",D70)</f>
        <v/>
      </c>
      <c r="K70" s="30" t="b">
        <v>1</v>
      </c>
      <c r="L70" s="30" t="b">
        <v>1</v>
      </c>
      <c r="M70" s="32" t="n"/>
      <c r="N70" s="32" t="n"/>
    </row>
    <row r="71">
      <c r="A71" s="31" t="inlineStr">
        <is>
          <t>account.1_l10n_id_41000010</t>
        </is>
      </c>
      <c r="B71" s="32" t="n">
        <v>70</v>
      </c>
      <c r="C71" s="25" t="inlineStr">
        <is>
          <t>41000010</t>
        </is>
      </c>
      <c r="D71" s="31" t="inlineStr">
        <is>
          <t>Penjualan</t>
        </is>
      </c>
      <c r="E71" s="31" t="inlineStr">
        <is>
          <t>Penghasilan</t>
        </is>
      </c>
      <c r="F71" s="32" t="n"/>
      <c r="G71" s="32" t="n"/>
      <c r="H71" s="31">
        <f t="array" ref="H71">_xlfn.XLOOKUP(account.account[account_type],account.account.account_type[name],account.account.account_type[npl group name level 2])</f>
        <v/>
      </c>
      <c r="I71" s="31">
        <f t="array" ref="I71">_xlfn.XLOOKUP(account.account[account_type],account.account.account_type[name],account.account.account_type[npl group name level 3])</f>
        <v/>
      </c>
      <c r="J71" s="31">
        <f>CONCATENATE(C71," ",D71)</f>
        <v/>
      </c>
      <c r="K71" s="30" t="b">
        <v>1</v>
      </c>
      <c r="L71" s="30" t="b">
        <v>1</v>
      </c>
      <c r="M71" s="32" t="n"/>
      <c r="N71" s="32" t="n"/>
    </row>
    <row r="72">
      <c r="A72" s="31" t="inlineStr">
        <is>
          <t>account.1_l10n_id_42000060</t>
        </is>
      </c>
      <c r="B72" s="32" t="n">
        <v>71</v>
      </c>
      <c r="C72" s="25" t="inlineStr">
        <is>
          <t>42000060</t>
        </is>
      </c>
      <c r="D72" s="31" t="inlineStr">
        <is>
          <t>Retur Penjualan</t>
        </is>
      </c>
      <c r="E72" s="31" t="inlineStr">
        <is>
          <t>Penghasilan</t>
        </is>
      </c>
      <c r="F72" s="32" t="n"/>
      <c r="G72" s="32" t="n"/>
      <c r="H72" s="31">
        <f t="array" ref="H72">_xlfn.XLOOKUP(account.account[account_type],account.account.account_type[name],account.account.account_type[npl group name level 2])</f>
        <v/>
      </c>
      <c r="I72" s="31">
        <f t="array" ref="I72">_xlfn.XLOOKUP(account.account[account_type],account.account.account_type[name],account.account.account_type[npl group name level 3])</f>
        <v/>
      </c>
      <c r="J72" s="31">
        <f>CONCATENATE(C72," ",D72)</f>
        <v/>
      </c>
      <c r="K72" s="30" t="b">
        <v>1</v>
      </c>
      <c r="L72" s="30" t="b">
        <v>1</v>
      </c>
      <c r="M72" s="32" t="n"/>
      <c r="N72" s="32" t="n"/>
    </row>
    <row r="73">
      <c r="A73" s="31" t="inlineStr">
        <is>
          <t>account.1_l10n_id_42000070</t>
        </is>
      </c>
      <c r="B73" s="32" t="n">
        <v>72</v>
      </c>
      <c r="C73" s="25" t="inlineStr">
        <is>
          <t>42000070</t>
        </is>
      </c>
      <c r="D73" s="31" t="inlineStr">
        <is>
          <t>Discount Penjualan</t>
        </is>
      </c>
      <c r="E73" s="31" t="inlineStr">
        <is>
          <t>Penghasilan</t>
        </is>
      </c>
      <c r="F73" s="32" t="n"/>
      <c r="G73" s="32" t="n"/>
      <c r="H73" s="31">
        <f t="array" ref="H73">_xlfn.XLOOKUP(account.account[account_type],account.account.account_type[name],account.account.account_type[npl group name level 2])</f>
        <v/>
      </c>
      <c r="I73" s="31">
        <f t="array" ref="I73">_xlfn.XLOOKUP(account.account[account_type],account.account.account_type[name],account.account.account_type[npl group name level 3])</f>
        <v/>
      </c>
      <c r="J73" s="31">
        <f>CONCATENATE(C73," ",D73)</f>
        <v/>
      </c>
      <c r="K73" s="30" t="b">
        <v>1</v>
      </c>
      <c r="L73" s="30" t="b">
        <v>1</v>
      </c>
      <c r="M73" s="32" t="n"/>
      <c r="N73" s="32" t="n"/>
    </row>
    <row r="74">
      <c r="A74" s="31" t="inlineStr">
        <is>
          <t>account.1_l10n_id_42500010</t>
        </is>
      </c>
      <c r="B74" s="32" t="n">
        <v>73</v>
      </c>
      <c r="C74" s="25" t="inlineStr">
        <is>
          <t>42500010</t>
        </is>
      </c>
      <c r="D74" s="31" t="inlineStr">
        <is>
          <t>Perubahan Persediaan</t>
        </is>
      </c>
      <c r="E74" s="31" t="inlineStr">
        <is>
          <t>Pengeluaran</t>
        </is>
      </c>
      <c r="F74" s="32" t="n"/>
      <c r="G74" s="32" t="n"/>
      <c r="H74" s="31">
        <f t="array" ref="H74">_xlfn.XLOOKUP(account.account[account_type],account.account.account_type[name],account.account.account_type[npl group name level 2])</f>
        <v/>
      </c>
      <c r="I74" s="31">
        <f t="array" ref="I74">_xlfn.XLOOKUP(account.account[account_type],account.account.account_type[name],account.account.account_type[npl group name level 3])</f>
        <v/>
      </c>
      <c r="J74" s="31">
        <f>CONCATENATE(C74," ",D74)</f>
        <v/>
      </c>
      <c r="K74" s="30" t="b">
        <v>1</v>
      </c>
      <c r="L74" s="30" t="b">
        <v>1</v>
      </c>
      <c r="M74" s="32" t="n"/>
      <c r="N74" s="32" t="n"/>
    </row>
    <row r="75">
      <c r="A75" s="31" t="inlineStr">
        <is>
          <t>account.1_l10n_id_51000010</t>
        </is>
      </c>
      <c r="B75" s="32" t="n">
        <v>74</v>
      </c>
      <c r="C75" s="25" t="inlineStr">
        <is>
          <t>51000010</t>
        </is>
      </c>
      <c r="D75" s="31" t="inlineStr">
        <is>
          <t>Harga Pokok Penjualan</t>
        </is>
      </c>
      <c r="E75" s="31" t="inlineStr">
        <is>
          <t>Biaya Pendapatan</t>
        </is>
      </c>
      <c r="F75" s="32" t="n"/>
      <c r="G75" s="32" t="n"/>
      <c r="H75" s="31">
        <f t="array" ref="H75">_xlfn.XLOOKUP(account.account[account_type],account.account.account_type[name],account.account.account_type[npl group name level 2])</f>
        <v/>
      </c>
      <c r="I75" s="31">
        <f t="array" ref="I75">_xlfn.XLOOKUP(account.account[account_type],account.account.account_type[name],account.account.account_type[npl group name level 3])</f>
        <v/>
      </c>
      <c r="J75" s="31">
        <f>CONCATENATE(C75," ",D75)</f>
        <v/>
      </c>
      <c r="K75" s="30" t="b">
        <v>1</v>
      </c>
      <c r="L75" s="30" t="b">
        <v>1</v>
      </c>
      <c r="M75" s="32" t="n"/>
      <c r="N75" s="32" t="n"/>
    </row>
    <row r="76">
      <c r="A76" s="31" t="inlineStr">
        <is>
          <t>account.1_l10n_id_51000020</t>
        </is>
      </c>
      <c r="B76" s="32" t="n">
        <v>75</v>
      </c>
      <c r="C76" s="25" t="inlineStr">
        <is>
          <t>51000020</t>
        </is>
      </c>
      <c r="D76" s="31" t="inlineStr">
        <is>
          <t>Pembelian Bahan Baku</t>
        </is>
      </c>
      <c r="E76" s="31" t="inlineStr">
        <is>
          <t>Pengeluaran</t>
        </is>
      </c>
      <c r="F76" s="32" t="n"/>
      <c r="G76" s="32" t="n"/>
      <c r="H76" s="31">
        <f t="array" ref="H76">_xlfn.XLOOKUP(account.account[account_type],account.account.account_type[name],account.account.account_type[npl group name level 2])</f>
        <v/>
      </c>
      <c r="I76" s="31">
        <f t="array" ref="I76">_xlfn.XLOOKUP(account.account[account_type],account.account.account_type[name],account.account.account_type[npl group name level 3])</f>
        <v/>
      </c>
      <c r="J76" s="31">
        <f>CONCATENATE(C76," ",D76)</f>
        <v/>
      </c>
      <c r="K76" s="30" t="b">
        <v>1</v>
      </c>
      <c r="L76" s="30" t="b">
        <v>1</v>
      </c>
      <c r="M76" s="32" t="n"/>
      <c r="N76" s="32" t="n"/>
    </row>
    <row r="77">
      <c r="A77" s="31" t="inlineStr">
        <is>
          <t>account.1_l10n_id_61100010</t>
        </is>
      </c>
      <c r="B77" s="32" t="n">
        <v>76</v>
      </c>
      <c r="C77" s="25" t="inlineStr">
        <is>
          <t>61100010</t>
        </is>
      </c>
      <c r="D77" s="31" t="inlineStr">
        <is>
          <t>Gaji Karyawan</t>
        </is>
      </c>
      <c r="E77" s="31" t="inlineStr">
        <is>
          <t>Pengeluaran</t>
        </is>
      </c>
      <c r="F77" s="32" t="n"/>
      <c r="G77" s="32" t="n"/>
      <c r="H77" s="31">
        <f t="array" ref="H77">_xlfn.XLOOKUP(account.account[account_type],account.account.account_type[name],account.account.account_type[npl group name level 2])</f>
        <v/>
      </c>
      <c r="I77" s="31">
        <f t="array" ref="I77">_xlfn.XLOOKUP(account.account[account_type],account.account.account_type[name],account.account.account_type[npl group name level 3])</f>
        <v/>
      </c>
      <c r="J77" s="31">
        <f>CONCATENATE(C77," ",D77)</f>
        <v/>
      </c>
      <c r="K77" s="30" t="b">
        <v>1</v>
      </c>
      <c r="L77" s="30" t="b">
        <v>1</v>
      </c>
      <c r="M77" s="32" t="n"/>
      <c r="N77" s="32" t="n"/>
    </row>
    <row r="78">
      <c r="A78" s="31" t="inlineStr">
        <is>
          <t>account.1_l10n_id_61100020</t>
        </is>
      </c>
      <c r="B78" s="32" t="n">
        <v>77</v>
      </c>
      <c r="C78" s="25" t="inlineStr">
        <is>
          <t>61100020</t>
        </is>
      </c>
      <c r="D78" s="31" t="inlineStr">
        <is>
          <t>Tunjangan/ Bonus Karyawan</t>
        </is>
      </c>
      <c r="E78" s="31" t="inlineStr">
        <is>
          <t>Pengeluaran</t>
        </is>
      </c>
      <c r="F78" s="32" t="n"/>
      <c r="G78" s="32" t="n"/>
      <c r="H78" s="31">
        <f t="array" ref="H78">_xlfn.XLOOKUP(account.account[account_type],account.account.account_type[name],account.account.account_type[npl group name level 2])</f>
        <v/>
      </c>
      <c r="I78" s="31">
        <f t="array" ref="I78">_xlfn.XLOOKUP(account.account[account_type],account.account.account_type[name],account.account.account_type[npl group name level 3])</f>
        <v/>
      </c>
      <c r="J78" s="31">
        <f>CONCATENATE(C78," ",D78)</f>
        <v/>
      </c>
      <c r="K78" s="30" t="b">
        <v>1</v>
      </c>
      <c r="L78" s="30" t="b">
        <v>1</v>
      </c>
      <c r="M78" s="32" t="n"/>
      <c r="N78" s="32" t="n"/>
    </row>
    <row r="79">
      <c r="A79" s="31" t="inlineStr">
        <is>
          <t>account.1_l10n_id_61100030</t>
        </is>
      </c>
      <c r="B79" s="32" t="n">
        <v>78</v>
      </c>
      <c r="C79" s="25" t="inlineStr">
        <is>
          <t>61100030</t>
        </is>
      </c>
      <c r="D79" s="31" t="inlineStr">
        <is>
          <t>Lembur Karyawan</t>
        </is>
      </c>
      <c r="E79" s="31" t="inlineStr">
        <is>
          <t>Pengeluaran</t>
        </is>
      </c>
      <c r="F79" s="32" t="n"/>
      <c r="G79" s="32" t="n"/>
      <c r="H79" s="31">
        <f t="array" ref="H79">_xlfn.XLOOKUP(account.account[account_type],account.account.account_type[name],account.account.account_type[npl group name level 2])</f>
        <v/>
      </c>
      <c r="I79" s="31">
        <f t="array" ref="I79">_xlfn.XLOOKUP(account.account[account_type],account.account.account_type[name],account.account.account_type[npl group name level 3])</f>
        <v/>
      </c>
      <c r="J79" s="31">
        <f>CONCATENATE(C79," ",D79)</f>
        <v/>
      </c>
      <c r="K79" s="30" t="b">
        <v>1</v>
      </c>
      <c r="L79" s="30" t="b">
        <v>1</v>
      </c>
      <c r="M79" s="32" t="n"/>
      <c r="N79" s="32" t="n"/>
    </row>
    <row r="80">
      <c r="A80" s="31" t="inlineStr">
        <is>
          <t>account.1_l10n_id_61100100</t>
        </is>
      </c>
      <c r="B80" s="32" t="n">
        <v>79</v>
      </c>
      <c r="C80" s="25" t="inlineStr">
        <is>
          <t>61100100</t>
        </is>
      </c>
      <c r="D80" s="31" t="inlineStr">
        <is>
          <t>Tunjangan PPH Pasal 21</t>
        </is>
      </c>
      <c r="E80" s="31" t="inlineStr">
        <is>
          <t>Pengeluaran</t>
        </is>
      </c>
      <c r="F80" s="32" t="n"/>
      <c r="G80" s="32" t="n"/>
      <c r="H80" s="31">
        <f t="array" ref="H80">_xlfn.XLOOKUP(account.account[account_type],account.account.account_type[name],account.account.account_type[npl group name level 2])</f>
        <v/>
      </c>
      <c r="I80" s="31">
        <f t="array" ref="I80">_xlfn.XLOOKUP(account.account[account_type],account.account.account_type[name],account.account.account_type[npl group name level 3])</f>
        <v/>
      </c>
      <c r="J80" s="31">
        <f>CONCATENATE(C80," ",D80)</f>
        <v/>
      </c>
      <c r="K80" s="30" t="b">
        <v>1</v>
      </c>
      <c r="L80" s="30" t="b">
        <v>1</v>
      </c>
      <c r="M80" s="32" t="n"/>
      <c r="N80" s="32" t="n"/>
    </row>
    <row r="81">
      <c r="A81" s="31" t="inlineStr">
        <is>
          <t>account.1_l10n_id_61100110</t>
        </is>
      </c>
      <c r="B81" s="32" t="n">
        <v>80</v>
      </c>
      <c r="C81" s="25" t="inlineStr">
        <is>
          <t>61100110</t>
        </is>
      </c>
      <c r="D81" s="31" t="inlineStr">
        <is>
          <t>PPh 22 Final</t>
        </is>
      </c>
      <c r="E81" s="31" t="inlineStr">
        <is>
          <t>Pengeluaran</t>
        </is>
      </c>
      <c r="F81" s="32" t="n"/>
      <c r="G81" s="32" t="n"/>
      <c r="H81" s="31">
        <f t="array" ref="H81">_xlfn.XLOOKUP(account.account[account_type],account.account.account_type[name],account.account.account_type[npl group name level 2])</f>
        <v/>
      </c>
      <c r="I81" s="31">
        <f t="array" ref="I81">_xlfn.XLOOKUP(account.account[account_type],account.account.account_type[name],account.account.account_type[npl group name level 3])</f>
        <v/>
      </c>
      <c r="J81" s="31">
        <f>CONCATENATE(C81," ",D81)</f>
        <v/>
      </c>
      <c r="K81" s="30" t="b">
        <v>1</v>
      </c>
      <c r="L81" s="30" t="b">
        <v>1</v>
      </c>
      <c r="M81" s="32" t="n"/>
      <c r="N81" s="32" t="n"/>
    </row>
    <row r="82">
      <c r="A82" s="31" t="inlineStr">
        <is>
          <t>account.1_l10n_id_61100120</t>
        </is>
      </c>
      <c r="B82" s="32" t="n">
        <v>81</v>
      </c>
      <c r="C82" s="25" t="inlineStr">
        <is>
          <t>61100120</t>
        </is>
      </c>
      <c r="D82" s="31" t="inlineStr">
        <is>
          <t>PPh 4(2) Final</t>
        </is>
      </c>
      <c r="E82" s="31" t="inlineStr">
        <is>
          <t>Pengeluaran</t>
        </is>
      </c>
      <c r="F82" s="32" t="n"/>
      <c r="G82" s="32" t="n"/>
      <c r="H82" s="31">
        <f t="array" ref="H82">_xlfn.XLOOKUP(account.account[account_type],account.account.account_type[name],account.account.account_type[npl group name level 2])</f>
        <v/>
      </c>
      <c r="I82" s="31">
        <f t="array" ref="I82">_xlfn.XLOOKUP(account.account[account_type],account.account.account_type[name],account.account.account_type[npl group name level 3])</f>
        <v/>
      </c>
      <c r="J82" s="31">
        <f>CONCATENATE(C82," ",D82)</f>
        <v/>
      </c>
      <c r="K82" s="30" t="b">
        <v>1</v>
      </c>
      <c r="L82" s="30" t="b">
        <v>1</v>
      </c>
      <c r="M82" s="32" t="n"/>
      <c r="N82" s="32" t="n"/>
    </row>
    <row r="83">
      <c r="A83" s="31" t="inlineStr">
        <is>
          <t>account.1_l10n_id_63110060</t>
        </is>
      </c>
      <c r="B83" s="32" t="n">
        <v>82</v>
      </c>
      <c r="C83" s="25" t="inlineStr">
        <is>
          <t>63110060</t>
        </is>
      </c>
      <c r="D83" s="31" t="inlineStr">
        <is>
          <t>Telepon</t>
        </is>
      </c>
      <c r="E83" s="31" t="inlineStr">
        <is>
          <t>Pengeluaran</t>
        </is>
      </c>
      <c r="F83" s="32" t="n"/>
      <c r="G83" s="32" t="n"/>
      <c r="H83" s="31">
        <f t="array" ref="H83">_xlfn.XLOOKUP(account.account[account_type],account.account.account_type[name],account.account.account_type[npl group name level 2])</f>
        <v/>
      </c>
      <c r="I83" s="31">
        <f t="array" ref="I83">_xlfn.XLOOKUP(account.account[account_type],account.account.account_type[name],account.account.account_type[npl group name level 3])</f>
        <v/>
      </c>
      <c r="J83" s="31">
        <f>CONCATENATE(C83," ",D83)</f>
        <v/>
      </c>
      <c r="K83" s="30" t="b">
        <v>1</v>
      </c>
      <c r="L83" s="30" t="b">
        <v>1</v>
      </c>
      <c r="M83" s="32" t="n"/>
      <c r="N83" s="32" t="n"/>
    </row>
    <row r="84">
      <c r="A84" s="31" t="inlineStr">
        <is>
          <t>account.1_l10n_id_63110080</t>
        </is>
      </c>
      <c r="B84" s="32" t="n">
        <v>83</v>
      </c>
      <c r="C84" s="25" t="inlineStr">
        <is>
          <t>63110080</t>
        </is>
      </c>
      <c r="D84" s="31" t="inlineStr">
        <is>
          <t>Listrik</t>
        </is>
      </c>
      <c r="E84" s="31" t="inlineStr">
        <is>
          <t>Pengeluaran</t>
        </is>
      </c>
      <c r="F84" s="32" t="n"/>
      <c r="G84" s="32" t="n"/>
      <c r="H84" s="31">
        <f t="array" ref="H84">_xlfn.XLOOKUP(account.account[account_type],account.account.account_type[name],account.account.account_type[npl group name level 2])</f>
        <v/>
      </c>
      <c r="I84" s="31">
        <f t="array" ref="I84">_xlfn.XLOOKUP(account.account[account_type],account.account.account_type[name],account.account.account_type[npl group name level 3])</f>
        <v/>
      </c>
      <c r="J84" s="31">
        <f>CONCATENATE(C84," ",D84)</f>
        <v/>
      </c>
      <c r="K84" s="30" t="b">
        <v>1</v>
      </c>
      <c r="L84" s="30" t="b">
        <v>1</v>
      </c>
      <c r="M84" s="32" t="n"/>
      <c r="N84" s="32" t="n"/>
    </row>
    <row r="85">
      <c r="A85" s="31" t="inlineStr">
        <is>
          <t>account.1_l10n_id_63110100</t>
        </is>
      </c>
      <c r="B85" s="32" t="n">
        <v>84</v>
      </c>
      <c r="C85" s="25" t="inlineStr">
        <is>
          <t>63110100</t>
        </is>
      </c>
      <c r="D85" s="31" t="inlineStr">
        <is>
          <t>Research &amp; Development</t>
        </is>
      </c>
      <c r="E85" s="31" t="inlineStr">
        <is>
          <t>Pengeluaran</t>
        </is>
      </c>
      <c r="F85" s="32" t="n"/>
      <c r="G85" s="32" t="n"/>
      <c r="H85" s="31">
        <f t="array" ref="H85">_xlfn.XLOOKUP(account.account[account_type],account.account.account_type[name],account.account.account_type[npl group name level 2])</f>
        <v/>
      </c>
      <c r="I85" s="31">
        <f t="array" ref="I85">_xlfn.XLOOKUP(account.account[account_type],account.account.account_type[name],account.account.account_type[npl group name level 3])</f>
        <v/>
      </c>
      <c r="J85" s="31">
        <f>CONCATENATE(C85," ",D85)</f>
        <v/>
      </c>
      <c r="K85" s="30" t="b">
        <v>1</v>
      </c>
      <c r="L85" s="30" t="b">
        <v>1</v>
      </c>
      <c r="M85" s="32" t="n"/>
      <c r="N85" s="32" t="n"/>
    </row>
    <row r="86">
      <c r="A86" s="31" t="inlineStr">
        <is>
          <t>account.1_l10n_id_63110120</t>
        </is>
      </c>
      <c r="B86" s="32" t="n">
        <v>85</v>
      </c>
      <c r="C86" s="25" t="inlineStr">
        <is>
          <t>63110120</t>
        </is>
      </c>
      <c r="D86" s="31" t="inlineStr">
        <is>
          <t>Perlengkapan Kantor</t>
        </is>
      </c>
      <c r="E86" s="31" t="inlineStr">
        <is>
          <t>Pengeluaran</t>
        </is>
      </c>
      <c r="F86" s="32" t="n"/>
      <c r="G86" s="32" t="n"/>
      <c r="H86" s="31">
        <f t="array" ref="H86">_xlfn.XLOOKUP(account.account[account_type],account.account.account_type[name],account.account.account_type[npl group name level 2])</f>
        <v/>
      </c>
      <c r="I86" s="31">
        <f t="array" ref="I86">_xlfn.XLOOKUP(account.account[account_type],account.account.account_type[name],account.account.account_type[npl group name level 3])</f>
        <v/>
      </c>
      <c r="J86" s="31">
        <f>CONCATENATE(C86," ",D86)</f>
        <v/>
      </c>
      <c r="K86" s="30" t="b">
        <v>1</v>
      </c>
      <c r="L86" s="30" t="b">
        <v>1</v>
      </c>
      <c r="M86" s="32" t="n"/>
      <c r="N86" s="32" t="n"/>
    </row>
    <row r="87">
      <c r="A87" s="31" t="inlineStr">
        <is>
          <t>account.1_l10n_id_63110140</t>
        </is>
      </c>
      <c r="B87" s="32" t="n">
        <v>86</v>
      </c>
      <c r="C87" s="25" t="inlineStr">
        <is>
          <t>63110140</t>
        </is>
      </c>
      <c r="D87" s="31" t="inlineStr">
        <is>
          <t>Keperluan Lain-lain</t>
        </is>
      </c>
      <c r="E87" s="31" t="inlineStr">
        <is>
          <t>Pengeluaran</t>
        </is>
      </c>
      <c r="F87" s="32" t="n"/>
      <c r="G87" s="32" t="n"/>
      <c r="H87" s="31">
        <f t="array" ref="H87">_xlfn.XLOOKUP(account.account[account_type],account.account.account_type[name],account.account.account_type[npl group name level 2])</f>
        <v/>
      </c>
      <c r="I87" s="31">
        <f t="array" ref="I87">_xlfn.XLOOKUP(account.account[account_type],account.account.account_type[name],account.account.account_type[npl group name level 3])</f>
        <v/>
      </c>
      <c r="J87" s="31">
        <f>CONCATENATE(C87," ",D87)</f>
        <v/>
      </c>
      <c r="K87" s="30" t="b">
        <v>1</v>
      </c>
      <c r="L87" s="30" t="b">
        <v>1</v>
      </c>
      <c r="M87" s="32" t="n"/>
      <c r="N87" s="32" t="n"/>
    </row>
    <row r="88">
      <c r="A88" s="31" t="inlineStr">
        <is>
          <t>account.1_l10n_id_64110020</t>
        </is>
      </c>
      <c r="B88" s="32" t="n">
        <v>87</v>
      </c>
      <c r="C88" s="25" t="inlineStr">
        <is>
          <t>64110020</t>
        </is>
      </c>
      <c r="D88" s="31" t="inlineStr">
        <is>
          <t>Keperluan Pos</t>
        </is>
      </c>
      <c r="E88" s="31" t="inlineStr">
        <is>
          <t>Pengeluaran</t>
        </is>
      </c>
      <c r="F88" s="32" t="n"/>
      <c r="G88" s="32" t="n"/>
      <c r="H88" s="31">
        <f t="array" ref="H88">_xlfn.XLOOKUP(account.account[account_type],account.account.account_type[name],account.account.account_type[npl group name level 2])</f>
        <v/>
      </c>
      <c r="I88" s="31">
        <f t="array" ref="I88">_xlfn.XLOOKUP(account.account[account_type],account.account.account_type[name],account.account.account_type[npl group name level 3])</f>
        <v/>
      </c>
      <c r="J88" s="31">
        <f>CONCATENATE(C88," ",D88)</f>
        <v/>
      </c>
      <c r="K88" s="30" t="b">
        <v>1</v>
      </c>
      <c r="L88" s="30" t="b">
        <v>1</v>
      </c>
      <c r="M88" s="32" t="n"/>
      <c r="N88" s="32" t="n"/>
    </row>
    <row r="89">
      <c r="A89" s="31" t="inlineStr">
        <is>
          <t>account.1_l10n_id_65110010</t>
        </is>
      </c>
      <c r="B89" s="32" t="n">
        <v>88</v>
      </c>
      <c r="C89" s="25" t="inlineStr">
        <is>
          <t>65110010</t>
        </is>
      </c>
      <c r="D89" s="31" t="inlineStr">
        <is>
          <t>Biaya Perizinan</t>
        </is>
      </c>
      <c r="E89" s="31" t="inlineStr">
        <is>
          <t>Pengeluaran</t>
        </is>
      </c>
      <c r="F89" s="32" t="n"/>
      <c r="G89" s="32" t="n"/>
      <c r="H89" s="31">
        <f t="array" ref="H89">_xlfn.XLOOKUP(account.account[account_type],account.account.account_type[name],account.account.account_type[npl group name level 2])</f>
        <v/>
      </c>
      <c r="I89" s="31">
        <f t="array" ref="I89">_xlfn.XLOOKUP(account.account[account_type],account.account.account_type[name],account.account.account_type[npl group name level 3])</f>
        <v/>
      </c>
      <c r="J89" s="31">
        <f>CONCATENATE(C89," ",D89)</f>
        <v/>
      </c>
      <c r="K89" s="30" t="b">
        <v>1</v>
      </c>
      <c r="L89" s="30" t="b">
        <v>1</v>
      </c>
      <c r="M89" s="32" t="n"/>
      <c r="N89" s="32" t="n"/>
    </row>
    <row r="90">
      <c r="A90" s="31" t="inlineStr">
        <is>
          <t>account.1_l10n_id_65110020</t>
        </is>
      </c>
      <c r="B90" s="32" t="n">
        <v>89</v>
      </c>
      <c r="C90" s="25" t="inlineStr">
        <is>
          <t>65110020</t>
        </is>
      </c>
      <c r="D90" s="31" t="inlineStr">
        <is>
          <t>Biaya Administrasi Bank</t>
        </is>
      </c>
      <c r="E90" s="31" t="inlineStr">
        <is>
          <t>Pengeluaran</t>
        </is>
      </c>
      <c r="F90" s="32" t="n"/>
      <c r="G90" s="32" t="n"/>
      <c r="H90" s="31">
        <f t="array" ref="H90">_xlfn.XLOOKUP(account.account[account_type],account.account.account_type[name],account.account.account_type[npl group name level 2])</f>
        <v/>
      </c>
      <c r="I90" s="31">
        <f t="array" ref="I90">_xlfn.XLOOKUP(account.account[account_type],account.account.account_type[name],account.account.account_type[npl group name level 3])</f>
        <v/>
      </c>
      <c r="J90" s="31">
        <f>CONCATENATE(C90," ",D90)</f>
        <v/>
      </c>
      <c r="K90" s="30" t="b">
        <v>1</v>
      </c>
      <c r="L90" s="30" t="b">
        <v>1</v>
      </c>
      <c r="M90" s="32" t="n"/>
      <c r="N90" s="32" t="n"/>
    </row>
    <row r="91">
      <c r="A91" s="31" t="inlineStr">
        <is>
          <t>account.1_l10n_id_65110030</t>
        </is>
      </c>
      <c r="B91" s="32" t="n">
        <v>90</v>
      </c>
      <c r="C91" s="25" t="inlineStr">
        <is>
          <t>65110030</t>
        </is>
      </c>
      <c r="D91" s="31" t="inlineStr">
        <is>
          <t>Biaya Konsultan</t>
        </is>
      </c>
      <c r="E91" s="31" t="inlineStr">
        <is>
          <t>Pengeluaran</t>
        </is>
      </c>
      <c r="F91" s="32" t="n"/>
      <c r="G91" s="32" t="n"/>
      <c r="H91" s="31">
        <f t="array" ref="H91">_xlfn.XLOOKUP(account.account[account_type],account.account.account_type[name],account.account.account_type[npl group name level 2])</f>
        <v/>
      </c>
      <c r="I91" s="31">
        <f t="array" ref="I91">_xlfn.XLOOKUP(account.account[account_type],account.account.account_type[name],account.account.account_type[npl group name level 3])</f>
        <v/>
      </c>
      <c r="J91" s="31">
        <f>CONCATENATE(C91," ",D91)</f>
        <v/>
      </c>
      <c r="K91" s="30" t="b">
        <v>1</v>
      </c>
      <c r="L91" s="30" t="b">
        <v>1</v>
      </c>
      <c r="M91" s="32" t="n"/>
      <c r="N91" s="32" t="n"/>
    </row>
    <row r="92">
      <c r="A92" s="31" t="inlineStr">
        <is>
          <t>account.1_l10n_id_65110040</t>
        </is>
      </c>
      <c r="B92" s="32" t="n">
        <v>91</v>
      </c>
      <c r="C92" s="25" t="inlineStr">
        <is>
          <t>65110040</t>
        </is>
      </c>
      <c r="D92" s="31" t="inlineStr">
        <is>
          <t>Biaya Sewa</t>
        </is>
      </c>
      <c r="E92" s="31" t="inlineStr">
        <is>
          <t>Pengeluaran</t>
        </is>
      </c>
      <c r="F92" s="32" t="n"/>
      <c r="G92" s="32" t="n"/>
      <c r="H92" s="31">
        <f t="array" ref="H92">_xlfn.XLOOKUP(account.account[account_type],account.account.account_type[name],account.account.account_type[npl group name level 2])</f>
        <v/>
      </c>
      <c r="I92" s="31">
        <f t="array" ref="I92">_xlfn.XLOOKUP(account.account[account_type],account.account.account_type[name],account.account.account_type[npl group name level 3])</f>
        <v/>
      </c>
      <c r="J92" s="31">
        <f>CONCATENATE(C92," ",D92)</f>
        <v/>
      </c>
      <c r="K92" s="30" t="b">
        <v>1</v>
      </c>
      <c r="L92" s="30" t="b">
        <v>1</v>
      </c>
      <c r="M92" s="32" t="n"/>
      <c r="N92" s="32" t="n"/>
    </row>
    <row r="93">
      <c r="A93" s="31" t="inlineStr">
        <is>
          <t>account.1_l10n_id_65110050</t>
        </is>
      </c>
      <c r="B93" s="32" t="n">
        <v>92</v>
      </c>
      <c r="C93" s="25" t="inlineStr">
        <is>
          <t>65110050</t>
        </is>
      </c>
      <c r="D93" s="31" t="inlineStr">
        <is>
          <t>Insurance Costs</t>
        </is>
      </c>
      <c r="E93" s="31" t="inlineStr">
        <is>
          <t>Pengeluaran</t>
        </is>
      </c>
      <c r="F93" s="32" t="n"/>
      <c r="G93" s="32" t="n"/>
      <c r="H93" s="31">
        <f t="array" ref="H93">_xlfn.XLOOKUP(account.account[account_type],account.account.account_type[name],account.account.account_type[npl group name level 2])</f>
        <v/>
      </c>
      <c r="I93" s="31">
        <f t="array" ref="I93">_xlfn.XLOOKUP(account.account[account_type],account.account.account_type[name],account.account.account_type[npl group name level 3])</f>
        <v/>
      </c>
      <c r="J93" s="31">
        <f>CONCATENATE(C93," ",D93)</f>
        <v/>
      </c>
      <c r="K93" s="30" t="b">
        <v>1</v>
      </c>
      <c r="L93" s="30" t="b">
        <v>1</v>
      </c>
      <c r="M93" s="32" t="n"/>
      <c r="N93" s="32" t="n"/>
    </row>
    <row r="94">
      <c r="A94" s="31" t="inlineStr">
        <is>
          <t>account.1_l10n_id_65110060</t>
        </is>
      </c>
      <c r="B94" s="32" t="n">
        <v>93</v>
      </c>
      <c r="C94" s="25" t="inlineStr">
        <is>
          <t>65110060</t>
        </is>
      </c>
      <c r="D94" s="31" t="inlineStr">
        <is>
          <t>Biaya Pemeliharaan &amp; Perawatan Gedung</t>
        </is>
      </c>
      <c r="E94" s="31" t="inlineStr">
        <is>
          <t>Pengeluaran</t>
        </is>
      </c>
      <c r="F94" s="32" t="n"/>
      <c r="G94" s="32" t="n"/>
      <c r="H94" s="31">
        <f t="array" ref="H94">_xlfn.XLOOKUP(account.account[account_type],account.account.account_type[name],account.account.account_type[npl group name level 2])</f>
        <v/>
      </c>
      <c r="I94" s="31">
        <f t="array" ref="I94">_xlfn.XLOOKUP(account.account[account_type],account.account.account_type[name],account.account.account_type[npl group name level 3])</f>
        <v/>
      </c>
      <c r="J94" s="31">
        <f>CONCATENATE(C94," ",D94)</f>
        <v/>
      </c>
      <c r="K94" s="30" t="b">
        <v>1</v>
      </c>
      <c r="L94" s="30" t="b">
        <v>1</v>
      </c>
      <c r="M94" s="32" t="n"/>
      <c r="N94" s="32" t="n"/>
    </row>
    <row r="95">
      <c r="A95" s="31" t="inlineStr">
        <is>
          <t>account.1_l10n_id_65110070</t>
        </is>
      </c>
      <c r="B95" s="32" t="n">
        <v>94</v>
      </c>
      <c r="C95" s="25" t="inlineStr">
        <is>
          <t>65110070</t>
        </is>
      </c>
      <c r="D95" s="31" t="inlineStr">
        <is>
          <t>Pajak</t>
        </is>
      </c>
      <c r="E95" s="31" t="inlineStr">
        <is>
          <t>Pengeluaran</t>
        </is>
      </c>
      <c r="F95" s="32" t="n"/>
      <c r="G95" s="32" t="n"/>
      <c r="H95" s="31">
        <f t="array" ref="H95">_xlfn.XLOOKUP(account.account[account_type],account.account.account_type[name],account.account.account_type[npl group name level 2])</f>
        <v/>
      </c>
      <c r="I95" s="31">
        <f t="array" ref="I95">_xlfn.XLOOKUP(account.account[account_type],account.account.account_type[name],account.account.account_type[npl group name level 3])</f>
        <v/>
      </c>
      <c r="J95" s="31">
        <f>CONCATENATE(C95," ",D95)</f>
        <v/>
      </c>
      <c r="K95" s="30" t="b">
        <v>1</v>
      </c>
      <c r="L95" s="30" t="b">
        <v>1</v>
      </c>
      <c r="M95" s="32" t="n"/>
      <c r="N95" s="32" t="n"/>
    </row>
    <row r="96">
      <c r="A96" s="31" t="inlineStr">
        <is>
          <t>account.1_l10n_id_65110080</t>
        </is>
      </c>
      <c r="B96" s="32" t="n">
        <v>95</v>
      </c>
      <c r="C96" s="25" t="inlineStr">
        <is>
          <t>65110080</t>
        </is>
      </c>
      <c r="D96" s="31" t="inlineStr">
        <is>
          <t>Biaya Pemeliharaan &amp; Perawatan Aset</t>
        </is>
      </c>
      <c r="E96" s="31" t="inlineStr">
        <is>
          <t>Pengeluaran</t>
        </is>
      </c>
      <c r="F96" s="32" t="n"/>
      <c r="G96" s="32" t="n"/>
      <c r="H96" s="31">
        <f t="array" ref="H96">_xlfn.XLOOKUP(account.account[account_type],account.account.account_type[name],account.account.account_type[npl group name level 2])</f>
        <v/>
      </c>
      <c r="I96" s="31">
        <f t="array" ref="I96">_xlfn.XLOOKUP(account.account[account_type],account.account.account_type[name],account.account.account_type[npl group name level 3])</f>
        <v/>
      </c>
      <c r="J96" s="31">
        <f>CONCATENATE(C96," ",D96)</f>
        <v/>
      </c>
      <c r="K96" s="30" t="b">
        <v>1</v>
      </c>
      <c r="L96" s="30" t="b">
        <v>1</v>
      </c>
      <c r="M96" s="32" t="n"/>
      <c r="N96" s="32" t="n"/>
    </row>
    <row r="97">
      <c r="A97" s="31" t="inlineStr">
        <is>
          <t>account.1_l10n_id_65110090</t>
        </is>
      </c>
      <c r="B97" s="32" t="n">
        <v>96</v>
      </c>
      <c r="C97" s="25" t="inlineStr">
        <is>
          <t>65110090</t>
        </is>
      </c>
      <c r="D97" s="31" t="inlineStr">
        <is>
          <t>Biaya Pengiriman Dokumen/Barang</t>
        </is>
      </c>
      <c r="E97" s="31" t="inlineStr">
        <is>
          <t>Pengeluaran</t>
        </is>
      </c>
      <c r="F97" s="32" t="n"/>
      <c r="G97" s="32" t="n"/>
      <c r="H97" s="31">
        <f t="array" ref="H97">_xlfn.XLOOKUP(account.account[account_type],account.account.account_type[name],account.account.account_type[npl group name level 2])</f>
        <v/>
      </c>
      <c r="I97" s="31">
        <f t="array" ref="I97">_xlfn.XLOOKUP(account.account[account_type],account.account.account_type[name],account.account.account_type[npl group name level 3])</f>
        <v/>
      </c>
      <c r="J97" s="31">
        <f>CONCATENATE(C97," ",D97)</f>
        <v/>
      </c>
      <c r="K97" s="30" t="b">
        <v>1</v>
      </c>
      <c r="L97" s="30" t="b">
        <v>1</v>
      </c>
      <c r="M97" s="32" t="n"/>
      <c r="N97" s="32" t="n"/>
    </row>
    <row r="98">
      <c r="A98" s="31" t="inlineStr">
        <is>
          <t>account.1_l10n_id_66110010</t>
        </is>
      </c>
      <c r="B98" s="32" t="n">
        <v>97</v>
      </c>
      <c r="C98" s="25" t="inlineStr">
        <is>
          <t>66110010</t>
        </is>
      </c>
      <c r="D98" s="31" t="inlineStr">
        <is>
          <t>BBM kendaraan</t>
        </is>
      </c>
      <c r="E98" s="31" t="inlineStr">
        <is>
          <t>Pengeluaran</t>
        </is>
      </c>
      <c r="F98" s="32" t="n"/>
      <c r="G98" s="32" t="n"/>
      <c r="H98" s="31">
        <f t="array" ref="H98">_xlfn.XLOOKUP(account.account[account_type],account.account.account_type[name],account.account.account_type[npl group name level 2])</f>
        <v/>
      </c>
      <c r="I98" s="31">
        <f t="array" ref="I98">_xlfn.XLOOKUP(account.account[account_type],account.account.account_type[name],account.account.account_type[npl group name level 3])</f>
        <v/>
      </c>
      <c r="J98" s="31">
        <f>CONCATENATE(C98," ",D98)</f>
        <v/>
      </c>
      <c r="K98" s="30" t="b">
        <v>1</v>
      </c>
      <c r="L98" s="30" t="b">
        <v>1</v>
      </c>
      <c r="M98" s="32" t="n"/>
      <c r="N98" s="32" t="n"/>
    </row>
    <row r="99">
      <c r="A99" s="31" t="inlineStr">
        <is>
          <t>account.1_l10n_id_66110020</t>
        </is>
      </c>
      <c r="B99" s="32" t="n">
        <v>98</v>
      </c>
      <c r="C99" s="25" t="inlineStr">
        <is>
          <t>66110020</t>
        </is>
      </c>
      <c r="D99" s="31" t="inlineStr">
        <is>
          <t>Service kendaraan</t>
        </is>
      </c>
      <c r="E99" s="31" t="inlineStr">
        <is>
          <t>Pengeluaran</t>
        </is>
      </c>
      <c r="F99" s="32" t="n"/>
      <c r="G99" s="32" t="n"/>
      <c r="H99" s="31">
        <f t="array" ref="H99">_xlfn.XLOOKUP(account.account[account_type],account.account.account_type[name],account.account.account_type[npl group name level 2])</f>
        <v/>
      </c>
      <c r="I99" s="31">
        <f t="array" ref="I99">_xlfn.XLOOKUP(account.account[account_type],account.account.account_type[name],account.account.account_type[npl group name level 3])</f>
        <v/>
      </c>
      <c r="J99" s="31">
        <f>CONCATENATE(C99," ",D99)</f>
        <v/>
      </c>
      <c r="K99" s="30" t="b">
        <v>1</v>
      </c>
      <c r="L99" s="30" t="b">
        <v>1</v>
      </c>
      <c r="M99" s="32" t="n"/>
      <c r="N99" s="32" t="n"/>
    </row>
    <row r="100">
      <c r="A100" s="31" t="inlineStr">
        <is>
          <t>account.1_l10n_id_66110030</t>
        </is>
      </c>
      <c r="B100" s="32" t="n">
        <v>99</v>
      </c>
      <c r="C100" s="25" t="inlineStr">
        <is>
          <t>66110030</t>
        </is>
      </c>
      <c r="D100" s="31" t="inlineStr">
        <is>
          <t>Parkir &amp; tol kendaraan</t>
        </is>
      </c>
      <c r="E100" s="31" t="inlineStr">
        <is>
          <t>Pengeluaran</t>
        </is>
      </c>
      <c r="F100" s="32" t="n"/>
      <c r="G100" s="32" t="n"/>
      <c r="H100" s="31">
        <f t="array" ref="H100">_xlfn.XLOOKUP(account.account[account_type],account.account.account_type[name],account.account.account_type[npl group name level 2])</f>
        <v/>
      </c>
      <c r="I100" s="31">
        <f t="array" ref="I100">_xlfn.XLOOKUP(account.account[account_type],account.account.account_type[name],account.account.account_type[npl group name level 3])</f>
        <v/>
      </c>
      <c r="J100" s="31">
        <f>CONCATENATE(C100," ",D100)</f>
        <v/>
      </c>
      <c r="K100" s="30" t="b">
        <v>1</v>
      </c>
      <c r="L100" s="30" t="b">
        <v>1</v>
      </c>
      <c r="M100" s="32" t="n"/>
      <c r="N100" s="32" t="n"/>
    </row>
    <row r="101">
      <c r="A101" s="31" t="inlineStr">
        <is>
          <t>account.1_l10n_id_66110040</t>
        </is>
      </c>
      <c r="B101" s="32" t="n">
        <v>100</v>
      </c>
      <c r="C101" s="25" t="inlineStr">
        <is>
          <t>66110040</t>
        </is>
      </c>
      <c r="D101" s="31" t="inlineStr">
        <is>
          <t>Pajak Kendaraan</t>
        </is>
      </c>
      <c r="E101" s="31" t="inlineStr">
        <is>
          <t>Pengeluaran</t>
        </is>
      </c>
      <c r="F101" s="32" t="n"/>
      <c r="G101" s="32" t="n"/>
      <c r="H101" s="31">
        <f t="array" ref="H101">_xlfn.XLOOKUP(account.account[account_type],account.account.account_type[name],account.account.account_type[npl group name level 2])</f>
        <v/>
      </c>
      <c r="I101" s="31">
        <f t="array" ref="I101">_xlfn.XLOOKUP(account.account[account_type],account.account.account_type[name],account.account.account_type[npl group name level 3])</f>
        <v/>
      </c>
      <c r="J101" s="31">
        <f>CONCATENATE(C101," ",D101)</f>
        <v/>
      </c>
      <c r="K101" s="30" t="b">
        <v>1</v>
      </c>
      <c r="L101" s="30" t="b">
        <v>1</v>
      </c>
      <c r="M101" s="32" t="n"/>
      <c r="N101" s="32" t="n"/>
    </row>
    <row r="102">
      <c r="A102" s="31" t="inlineStr">
        <is>
          <t>account.1_l10n_id_66110050</t>
        </is>
      </c>
      <c r="B102" s="32" t="n">
        <v>101</v>
      </c>
      <c r="C102" s="25" t="inlineStr">
        <is>
          <t>66110050</t>
        </is>
      </c>
      <c r="D102" s="31" t="inlineStr">
        <is>
          <t>Asuransi Kendaraan</t>
        </is>
      </c>
      <c r="E102" s="31" t="inlineStr">
        <is>
          <t>Pengeluaran</t>
        </is>
      </c>
      <c r="F102" s="32" t="n"/>
      <c r="G102" s="32" t="n"/>
      <c r="H102" s="31">
        <f t="array" ref="H102">_xlfn.XLOOKUP(account.account[account_type],account.account.account_type[name],account.account.account_type[npl group name level 2])</f>
        <v/>
      </c>
      <c r="I102" s="31">
        <f t="array" ref="I102">_xlfn.XLOOKUP(account.account[account_type],account.account.account_type[name],account.account.account_type[npl group name level 3])</f>
        <v/>
      </c>
      <c r="J102" s="31">
        <f>CONCATENATE(C102," ",D102)</f>
        <v/>
      </c>
      <c r="K102" s="30" t="b">
        <v>1</v>
      </c>
      <c r="L102" s="30" t="b">
        <v>1</v>
      </c>
      <c r="M102" s="32" t="n"/>
      <c r="N102" s="32" t="n"/>
    </row>
    <row r="103">
      <c r="A103" s="31" t="inlineStr">
        <is>
          <t>account.1_l10n_id_67100010</t>
        </is>
      </c>
      <c r="B103" s="32" t="n">
        <v>102</v>
      </c>
      <c r="C103" s="25" t="inlineStr">
        <is>
          <t>67100010</t>
        </is>
      </c>
      <c r="D103" s="31" t="inlineStr">
        <is>
          <t>Bangunan Kantor</t>
        </is>
      </c>
      <c r="E103" s="31" t="inlineStr">
        <is>
          <t>Penyusutan</t>
        </is>
      </c>
      <c r="F103" s="32" t="n"/>
      <c r="G103" s="32" t="n"/>
      <c r="H103" s="31">
        <f t="array" ref="H103">_xlfn.XLOOKUP(account.account[account_type],account.account.account_type[name],account.account.account_type[npl group name level 2])</f>
        <v/>
      </c>
      <c r="I103" s="31">
        <f t="array" ref="I103">_xlfn.XLOOKUP(account.account[account_type],account.account.account_type[name],account.account.account_type[npl group name level 3])</f>
        <v/>
      </c>
      <c r="J103" s="31">
        <f>CONCATENATE(C103," ",D103)</f>
        <v/>
      </c>
      <c r="K103" s="30" t="b">
        <v>1</v>
      </c>
      <c r="L103" s="30" t="b">
        <v>1</v>
      </c>
      <c r="M103" s="32" t="n"/>
      <c r="N103" s="32" t="n"/>
    </row>
    <row r="104">
      <c r="A104" s="31" t="inlineStr">
        <is>
          <t>account.1_l10n_id_67100020</t>
        </is>
      </c>
      <c r="B104" s="32" t="n">
        <v>103</v>
      </c>
      <c r="C104" s="25" t="inlineStr">
        <is>
          <t>67100020</t>
        </is>
      </c>
      <c r="D104" s="31" t="inlineStr">
        <is>
          <t>Kendaraan</t>
        </is>
      </c>
      <c r="E104" s="31" t="inlineStr">
        <is>
          <t>Penyusutan</t>
        </is>
      </c>
      <c r="F104" s="32" t="n"/>
      <c r="G104" s="32" t="n"/>
      <c r="H104" s="31">
        <f t="array" ref="H104">_xlfn.XLOOKUP(account.account[account_type],account.account.account_type[name],account.account.account_type[npl group name level 2])</f>
        <v/>
      </c>
      <c r="I104" s="31">
        <f t="array" ref="I104">_xlfn.XLOOKUP(account.account[account_type],account.account.account_type[name],account.account.account_type[npl group name level 3])</f>
        <v/>
      </c>
      <c r="J104" s="31">
        <f>CONCATENATE(C104," ",D104)</f>
        <v/>
      </c>
      <c r="K104" s="30" t="b">
        <v>1</v>
      </c>
      <c r="L104" s="30" t="b">
        <v>1</v>
      </c>
      <c r="M104" s="32" t="n"/>
      <c r="N104" s="32" t="n"/>
    </row>
    <row r="105">
      <c r="A105" s="31" t="inlineStr">
        <is>
          <t>account.1_l10n_id_67100030</t>
        </is>
      </c>
      <c r="B105" s="32" t="n">
        <v>104</v>
      </c>
      <c r="C105" s="25" t="inlineStr">
        <is>
          <t>67100030</t>
        </is>
      </c>
      <c r="D105" s="31" t="inlineStr">
        <is>
          <t>Peralatan Kantor</t>
        </is>
      </c>
      <c r="E105" s="31" t="inlineStr">
        <is>
          <t>Penyusutan</t>
        </is>
      </c>
      <c r="F105" s="32" t="n"/>
      <c r="G105" s="32" t="n"/>
      <c r="H105" s="31">
        <f t="array" ref="H105">_xlfn.XLOOKUP(account.account[account_type],account.account.account_type[name],account.account.account_type[npl group name level 2])</f>
        <v/>
      </c>
      <c r="I105" s="31">
        <f t="array" ref="I105">_xlfn.XLOOKUP(account.account[account_type],account.account.account_type[name],account.account.account_type[npl group name level 3])</f>
        <v/>
      </c>
      <c r="J105" s="31">
        <f>CONCATENATE(C105," ",D105)</f>
        <v/>
      </c>
      <c r="K105" s="30" t="b">
        <v>1</v>
      </c>
      <c r="L105" s="30" t="b">
        <v>1</v>
      </c>
      <c r="M105" s="32" t="n"/>
      <c r="N105" s="32" t="n"/>
    </row>
    <row r="106">
      <c r="A106" s="31" t="inlineStr">
        <is>
          <t>account.1_l10n_id_69000000</t>
        </is>
      </c>
      <c r="B106" s="32" t="n">
        <v>105</v>
      </c>
      <c r="C106" s="25" t="inlineStr">
        <is>
          <t>69000000</t>
        </is>
      </c>
      <c r="D106" s="31" t="inlineStr">
        <is>
          <t>Biaya Lain-lain</t>
        </is>
      </c>
      <c r="E106" s="31" t="inlineStr">
        <is>
          <t>Pengeluaran</t>
        </is>
      </c>
      <c r="F106" s="32" t="n"/>
      <c r="G106" s="32" t="n"/>
      <c r="H106" s="31">
        <f t="array" ref="H106">_xlfn.XLOOKUP(account.account[account_type],account.account.account_type[name],account.account.account_type[npl group name level 2])</f>
        <v/>
      </c>
      <c r="I106" s="31">
        <f t="array" ref="I106">_xlfn.XLOOKUP(account.account[account_type],account.account.account_type[name],account.account.account_type[npl group name level 3])</f>
        <v/>
      </c>
      <c r="J106" s="31">
        <f>CONCATENATE(C106," ",D106)</f>
        <v/>
      </c>
      <c r="K106" s="30" t="b">
        <v>1</v>
      </c>
      <c r="L106" s="30" t="b">
        <v>1</v>
      </c>
      <c r="M106" s="32" t="n"/>
      <c r="N106" s="32" t="n"/>
    </row>
    <row r="107">
      <c r="A107" s="31" t="inlineStr">
        <is>
          <t>account.1_l10n_id_81100010</t>
        </is>
      </c>
      <c r="B107" s="32" t="n">
        <v>106</v>
      </c>
      <c r="C107" s="25" t="inlineStr">
        <is>
          <t>81100010</t>
        </is>
      </c>
      <c r="D107" s="31" t="inlineStr">
        <is>
          <t>Pendapatan Bunga</t>
        </is>
      </c>
      <c r="E107" s="31" t="inlineStr">
        <is>
          <t>Penghasilan Lainnya</t>
        </is>
      </c>
      <c r="F107" s="32" t="n"/>
      <c r="G107" s="32" t="n"/>
      <c r="H107" s="31">
        <f t="array" ref="H107">_xlfn.XLOOKUP(account.account[account_type],account.account.account_type[name],account.account.account_type[npl group name level 2])</f>
        <v/>
      </c>
      <c r="I107" s="31">
        <f t="array" ref="I107">_xlfn.XLOOKUP(account.account[account_type],account.account.account_type[name],account.account.account_type[npl group name level 3])</f>
        <v/>
      </c>
      <c r="J107" s="31">
        <f>CONCATENATE(C107," ",D107)</f>
        <v/>
      </c>
      <c r="K107" s="30" t="b">
        <v>1</v>
      </c>
      <c r="L107" s="30" t="b">
        <v>1</v>
      </c>
      <c r="M107" s="32" t="n"/>
      <c r="N107" s="32" t="n"/>
    </row>
    <row r="108">
      <c r="A108" s="31" t="inlineStr">
        <is>
          <t>account.1_l10n_id_81100020</t>
        </is>
      </c>
      <c r="B108" s="32" t="n">
        <v>107</v>
      </c>
      <c r="C108" s="25" t="inlineStr">
        <is>
          <t>81100020</t>
        </is>
      </c>
      <c r="D108" s="31" t="inlineStr">
        <is>
          <t>Pendapatan Deposit</t>
        </is>
      </c>
      <c r="E108" s="31" t="inlineStr">
        <is>
          <t>Penghasilan Lainnya</t>
        </is>
      </c>
      <c r="F108" s="32" t="n"/>
      <c r="G108" s="32" t="n"/>
      <c r="H108" s="31">
        <f t="array" ref="H108">_xlfn.XLOOKUP(account.account[account_type],account.account.account_type[name],account.account.account_type[npl group name level 2])</f>
        <v/>
      </c>
      <c r="I108" s="31">
        <f t="array" ref="I108">_xlfn.XLOOKUP(account.account[account_type],account.account.account_type[name],account.account.account_type[npl group name level 3])</f>
        <v/>
      </c>
      <c r="J108" s="31">
        <f>CONCATENATE(C108," ",D108)</f>
        <v/>
      </c>
      <c r="K108" s="30" t="b">
        <v>1</v>
      </c>
      <c r="L108" s="30" t="b">
        <v>1</v>
      </c>
      <c r="M108" s="32" t="n"/>
      <c r="N108" s="32" t="n"/>
    </row>
    <row r="109">
      <c r="A109" s="31" t="inlineStr">
        <is>
          <t>account.1_l10n_id_81100030</t>
        </is>
      </c>
      <c r="B109" s="32" t="n">
        <v>108</v>
      </c>
      <c r="C109" s="25" t="inlineStr">
        <is>
          <t>81100030</t>
        </is>
      </c>
      <c r="D109" s="31" t="inlineStr">
        <is>
          <t>Keuntungan Selisih Kurs</t>
        </is>
      </c>
      <c r="E109" s="31" t="inlineStr">
        <is>
          <t>Penghasilan Lainnya</t>
        </is>
      </c>
      <c r="F109" s="32" t="n"/>
      <c r="G109" s="32" t="n"/>
      <c r="H109" s="31">
        <f t="array" ref="H109">_xlfn.XLOOKUP(account.account[account_type],account.account.account_type[name],account.account.account_type[npl group name level 2])</f>
        <v/>
      </c>
      <c r="I109" s="31">
        <f t="array" ref="I109">_xlfn.XLOOKUP(account.account[account_type],account.account.account_type[name],account.account.account_type[npl group name level 3])</f>
        <v/>
      </c>
      <c r="J109" s="31">
        <f>CONCATENATE(C109," ",D109)</f>
        <v/>
      </c>
      <c r="K109" s="30" t="b">
        <v>1</v>
      </c>
      <c r="L109" s="30" t="b">
        <v>1</v>
      </c>
      <c r="M109" s="32" t="n"/>
      <c r="N109" s="32" t="n"/>
    </row>
    <row r="110">
      <c r="A110" s="31" t="inlineStr">
        <is>
          <t>account.1_l10n_id_81100040</t>
        </is>
      </c>
      <c r="B110" s="32" t="n">
        <v>109</v>
      </c>
      <c r="C110" s="25" t="inlineStr">
        <is>
          <t>81100040</t>
        </is>
      </c>
      <c r="D110" s="31" t="inlineStr">
        <is>
          <t>Pendapatan lainnya</t>
        </is>
      </c>
      <c r="E110" s="31" t="inlineStr">
        <is>
          <t>Penghasilan Lainnya</t>
        </is>
      </c>
      <c r="F110" s="32" t="n"/>
      <c r="G110" s="32" t="n"/>
      <c r="H110" s="31">
        <f t="array" ref="H110">_xlfn.XLOOKUP(account.account[account_type],account.account.account_type[name],account.account.account_type[npl group name level 2])</f>
        <v/>
      </c>
      <c r="I110" s="31">
        <f t="array" ref="I110">_xlfn.XLOOKUP(account.account[account_type],account.account.account_type[name],account.account.account_type[npl group name level 3])</f>
        <v/>
      </c>
      <c r="J110" s="31">
        <f>CONCATENATE(C110," ",D110)</f>
        <v/>
      </c>
      <c r="K110" s="30" t="b">
        <v>1</v>
      </c>
      <c r="L110" s="30" t="b">
        <v>1</v>
      </c>
      <c r="M110" s="32" t="n"/>
      <c r="N110" s="32" t="n"/>
    </row>
    <row r="111">
      <c r="A111" s="31" t="inlineStr">
        <is>
          <t>account.1_l10n_id_81100050</t>
        </is>
      </c>
      <c r="B111" s="32" t="n">
        <v>110</v>
      </c>
      <c r="C111" s="25" t="inlineStr">
        <is>
          <t>81100050</t>
        </is>
      </c>
      <c r="D111" s="31" t="inlineStr">
        <is>
          <t>Keuntungan Atas Penjualan Aktiva Tetap</t>
        </is>
      </c>
      <c r="E111" s="31" t="inlineStr">
        <is>
          <t>Penghasilan Lainnya</t>
        </is>
      </c>
      <c r="F111" s="32" t="n"/>
      <c r="G111" s="32" t="n"/>
      <c r="H111" s="31">
        <f t="array" ref="H111">_xlfn.XLOOKUP(account.account[account_type],account.account.account_type[name],account.account.account_type[npl group name level 2])</f>
        <v/>
      </c>
      <c r="I111" s="31">
        <f t="array" ref="I111">_xlfn.XLOOKUP(account.account[account_type],account.account.account_type[name],account.account.account_type[npl group name level 3])</f>
        <v/>
      </c>
      <c r="J111" s="31">
        <f>CONCATENATE(C111," ",D111)</f>
        <v/>
      </c>
      <c r="K111" s="30" t="b">
        <v>1</v>
      </c>
      <c r="L111" s="30" t="b">
        <v>1</v>
      </c>
      <c r="M111" s="32" t="n"/>
      <c r="N111" s="32" t="n"/>
    </row>
    <row r="112">
      <c r="A112" s="31" t="inlineStr">
        <is>
          <t>account.1_l10n_id_91100010</t>
        </is>
      </c>
      <c r="B112" s="32" t="n">
        <v>111</v>
      </c>
      <c r="C112" s="25" t="inlineStr">
        <is>
          <t>91100010</t>
        </is>
      </c>
      <c r="D112" s="31" t="inlineStr">
        <is>
          <t>Beban Bunga</t>
        </is>
      </c>
      <c r="E112" s="31" t="inlineStr">
        <is>
          <t>Pengeluaran</t>
        </is>
      </c>
      <c r="F112" s="32" t="n"/>
      <c r="G112" s="32" t="n"/>
      <c r="H112" s="31">
        <f t="array" ref="H112">_xlfn.XLOOKUP(account.account[account_type],account.account.account_type[name],account.account.account_type[npl group name level 2])</f>
        <v/>
      </c>
      <c r="I112" s="31">
        <f t="array" ref="I112">_xlfn.XLOOKUP(account.account[account_type],account.account.account_type[name],account.account.account_type[npl group name level 3])</f>
        <v/>
      </c>
      <c r="J112" s="31">
        <f>CONCATENATE(C112," ",D112)</f>
        <v/>
      </c>
      <c r="K112" s="30" t="b">
        <v>1</v>
      </c>
      <c r="L112" s="30" t="b">
        <v>1</v>
      </c>
      <c r="M112" s="32" t="n"/>
      <c r="N112" s="32" t="n"/>
    </row>
    <row r="113">
      <c r="A113" s="31" t="inlineStr">
        <is>
          <t>account.1_l10n_id_91100020</t>
        </is>
      </c>
      <c r="B113" s="32" t="n">
        <v>112</v>
      </c>
      <c r="C113" s="25" t="inlineStr">
        <is>
          <t>91100020</t>
        </is>
      </c>
      <c r="D113" s="31" t="inlineStr">
        <is>
          <t>Kerugian Selisih Kurs</t>
        </is>
      </c>
      <c r="E113" s="31" t="inlineStr">
        <is>
          <t>Pengeluaran</t>
        </is>
      </c>
      <c r="F113" s="32" t="n"/>
      <c r="G113" s="32" t="n"/>
      <c r="H113" s="31">
        <f t="array" ref="H113">_xlfn.XLOOKUP(account.account[account_type],account.account.account_type[name],account.account.account_type[npl group name level 2])</f>
        <v/>
      </c>
      <c r="I113" s="31">
        <f t="array" ref="I113">_xlfn.XLOOKUP(account.account[account_type],account.account.account_type[name],account.account.account_type[npl group name level 3])</f>
        <v/>
      </c>
      <c r="J113" s="31">
        <f>CONCATENATE(C113," ",D113)</f>
        <v/>
      </c>
      <c r="K113" s="30" t="b">
        <v>1</v>
      </c>
      <c r="L113" s="30" t="b">
        <v>1</v>
      </c>
      <c r="M113" s="32" t="n"/>
      <c r="N113" s="32" t="n"/>
    </row>
    <row r="114">
      <c r="A114" s="31" t="inlineStr">
        <is>
          <t>account.1_l10n_id_91100030</t>
        </is>
      </c>
      <c r="B114" s="32" t="n">
        <v>113</v>
      </c>
      <c r="C114" s="25" t="inlineStr">
        <is>
          <t>91100030</t>
        </is>
      </c>
      <c r="D114" s="31" t="inlineStr">
        <is>
          <t>Kerugian Atas Penjualan Aktiva Tetap</t>
        </is>
      </c>
      <c r="E114" s="31" t="inlineStr">
        <is>
          <t>Pengeluaran</t>
        </is>
      </c>
      <c r="F114" s="32" t="n"/>
      <c r="G114" s="32" t="n"/>
      <c r="H114" s="31">
        <f t="array" ref="H114">_xlfn.XLOOKUP(account.account[account_type],account.account.account_type[name],account.account.account_type[npl group name level 2])</f>
        <v/>
      </c>
      <c r="I114" s="31">
        <f t="array" ref="I114">_xlfn.XLOOKUP(account.account[account_type],account.account.account_type[name],account.account.account_type[npl group name level 3])</f>
        <v/>
      </c>
      <c r="J114" s="31">
        <f>CONCATENATE(C114," ",D114)</f>
        <v/>
      </c>
      <c r="K114" s="30" t="b">
        <v>1</v>
      </c>
      <c r="L114" s="30" t="b">
        <v>1</v>
      </c>
      <c r="M114" s="32" t="n"/>
      <c r="N114" s="32" t="n"/>
    </row>
    <row r="115">
      <c r="A115" s="31" t="inlineStr">
        <is>
          <t>account.1_l10n_id_99900001</t>
        </is>
      </c>
      <c r="B115" s="32" t="n">
        <v>114</v>
      </c>
      <c r="C115" s="25" t="inlineStr">
        <is>
          <t>99900001</t>
        </is>
      </c>
      <c r="D115" s="31" t="inlineStr">
        <is>
          <t>Kerugian Pendapatan Kas</t>
        </is>
      </c>
      <c r="E115" s="31" t="inlineStr">
        <is>
          <t>Pengeluaran</t>
        </is>
      </c>
      <c r="F115" s="32" t="n"/>
      <c r="G115" s="32" t="n"/>
      <c r="H115" s="31">
        <f t="array" ref="H115">_xlfn.XLOOKUP(account.account[account_type],account.account.account_type[name],account.account.account_type[npl group name level 2])</f>
        <v/>
      </c>
      <c r="I115" s="31">
        <f t="array" ref="I115">_xlfn.XLOOKUP(account.account[account_type],account.account.account_type[name],account.account.account_type[npl group name level 3])</f>
        <v/>
      </c>
      <c r="J115" s="31">
        <f>CONCATENATE(C115," ",D115)</f>
        <v/>
      </c>
      <c r="K115" s="30" t="b">
        <v>1</v>
      </c>
      <c r="L115" s="30" t="b">
        <v>1</v>
      </c>
      <c r="M115" s="32" t="n"/>
      <c r="N115" s="32" t="n"/>
    </row>
    <row r="116">
      <c r="A116" s="31" t="inlineStr">
        <is>
          <t>account.1_l10n_id_99900002</t>
        </is>
      </c>
      <c r="B116" s="32" t="n">
        <v>115</v>
      </c>
      <c r="C116" s="25" t="inlineStr">
        <is>
          <t>99900002</t>
        </is>
      </c>
      <c r="D116" s="31" t="inlineStr">
        <is>
          <t>Pendapatan Perbedaan Kas</t>
        </is>
      </c>
      <c r="E116" s="31" t="inlineStr">
        <is>
          <t>Penghasilan</t>
        </is>
      </c>
      <c r="F116" s="32" t="n"/>
      <c r="G116" s="32" t="n"/>
      <c r="H116" s="31">
        <f t="array" ref="H116">_xlfn.XLOOKUP(account.account[account_type],account.account.account_type[name],account.account.account_type[npl group name level 2])</f>
        <v/>
      </c>
      <c r="I116" s="31">
        <f t="array" ref="I116">_xlfn.XLOOKUP(account.account[account_type],account.account.account_type[name],account.account.account_type[npl group name level 3])</f>
        <v/>
      </c>
      <c r="J116" s="31">
        <f>CONCATENATE(C116," ",D116)</f>
        <v/>
      </c>
      <c r="K116" s="30" t="b">
        <v>1</v>
      </c>
      <c r="L116" s="30" t="b">
        <v>1</v>
      </c>
      <c r="M116" s="32" t="n"/>
      <c r="N116" s="32" t="n"/>
    </row>
    <row r="117">
      <c r="A117" s="31" t="inlineStr">
        <is>
          <t>account.1_l10n_id_99900003</t>
        </is>
      </c>
      <c r="B117" s="32" t="n">
        <v>116</v>
      </c>
      <c r="C117" s="25" t="inlineStr">
        <is>
          <t>99900003</t>
        </is>
      </c>
      <c r="D117" s="31" t="inlineStr">
        <is>
          <t>Beban Diskon Tunai</t>
        </is>
      </c>
      <c r="E117" s="31" t="inlineStr">
        <is>
          <t>Pengeluaran</t>
        </is>
      </c>
      <c r="F117" s="32" t="n"/>
      <c r="G117" s="32" t="n"/>
      <c r="H117" s="31">
        <f t="array" ref="H117">_xlfn.XLOOKUP(account.account[account_type],account.account.account_type[name],account.account.account_type[npl group name level 2])</f>
        <v/>
      </c>
      <c r="I117" s="31">
        <f t="array" ref="I117">_xlfn.XLOOKUP(account.account[account_type],account.account.account_type[name],account.account.account_type[npl group name level 3])</f>
        <v/>
      </c>
      <c r="J117" s="31">
        <f>CONCATENATE(C117," ",D117)</f>
        <v/>
      </c>
      <c r="K117" s="30" t="b">
        <v>1</v>
      </c>
      <c r="L117" s="30" t="b">
        <v>1</v>
      </c>
      <c r="M117" s="31" t="inlineStr">
        <is>
          <t>Cash Discount Loss</t>
        </is>
      </c>
      <c r="N117" s="32" t="n"/>
    </row>
    <row r="118">
      <c r="A118" s="31" t="inlineStr">
        <is>
          <t>account.1_l10n_id_99900004</t>
        </is>
      </c>
      <c r="B118" s="32" t="n">
        <v>117</v>
      </c>
      <c r="C118" s="25" t="inlineStr">
        <is>
          <t>99900004</t>
        </is>
      </c>
      <c r="D118" s="31" t="inlineStr">
        <is>
          <t>Pendapatan Diskon Tunai</t>
        </is>
      </c>
      <c r="E118" s="31" t="inlineStr">
        <is>
          <t>Penghasilan Lainnya</t>
        </is>
      </c>
      <c r="F118" s="32" t="n"/>
      <c r="G118" s="32" t="n"/>
      <c r="H118" s="31">
        <f t="array" ref="H118">_xlfn.XLOOKUP(account.account[account_type],account.account.account_type[name],account.account.account_type[npl group name level 2])</f>
        <v/>
      </c>
      <c r="I118" s="31">
        <f t="array" ref="I118">_xlfn.XLOOKUP(account.account[account_type],account.account.account_type[name],account.account.account_type[npl group name level 3])</f>
        <v/>
      </c>
      <c r="J118" s="31">
        <f>CONCATENATE(C118," ",D118)</f>
        <v/>
      </c>
      <c r="K118" s="30" t="b">
        <v>1</v>
      </c>
      <c r="L118" s="30" t="b">
        <v>1</v>
      </c>
      <c r="M118" s="31" t="inlineStr">
        <is>
          <t>Cash Discount Gain</t>
        </is>
      </c>
      <c r="N118" s="32" t="n"/>
    </row>
    <row r="119">
      <c r="A119" s="31" t="inlineStr">
        <is>
          <t>account.1_l10n_id_999999</t>
        </is>
      </c>
      <c r="B119" s="32" t="n">
        <v>118</v>
      </c>
      <c r="C119" s="25" t="inlineStr">
        <is>
          <t>99999900</t>
        </is>
      </c>
      <c r="D119" s="31" t="inlineStr">
        <is>
          <t>Laba/Rugi Belum Dialokasikan</t>
        </is>
      </c>
      <c r="E119" s="31" t="inlineStr">
        <is>
          <t>Penghasilan Tahun Terkini</t>
        </is>
      </c>
      <c r="F119" s="32" t="n"/>
      <c r="G119" s="32" t="n"/>
      <c r="H119" s="31">
        <f t="array" ref="H119">_xlfn.XLOOKUP(account.account[account_type],account.account.account_type[name],account.account.account_type[npl group name level 2])</f>
        <v/>
      </c>
      <c r="I119" s="31">
        <f t="array" ref="I119">_xlfn.XLOOKUP(account.account[account_type],account.account.account_type[name],account.account.account_type[npl group name level 3])</f>
        <v/>
      </c>
      <c r="J119" s="31">
        <f>CONCATENATE(C119," ",D119)</f>
        <v/>
      </c>
      <c r="K119" s="30" t="b">
        <v>1</v>
      </c>
      <c r="L119" s="30" t="b">
        <v>1</v>
      </c>
      <c r="M119" s="32" t="inlineStr">
        <is>
          <t>Undistributed Profits/Losses</t>
        </is>
      </c>
      <c r="N119" s="32" t="n"/>
    </row>
  </sheetData>
  <dataValidations count="3">
    <dataValidation sqref="F2:G119" showDropDown="1" showInputMessage="0" showErrorMessage="0" allowBlank="0" type="custom">
      <formula1>AND(ISNUMBER(F2),(NOT(OR(NOT(ISERROR(DATEVALUE(F2))), AND(ISNUMBER(F2), LEFT(CELL("format", F2))="D")))))</formula1>
    </dataValidation>
    <dataValidation sqref="C2:C119" showDropDown="1" showInputMessage="0" showErrorMessage="0" allowBlank="0"/>
    <dataValidation sqref="E2:E119" showDropDown="0" showInputMessage="0" showErrorMessage="0" allowBlank="0" type="list">
      <formula1>#REF!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" customWidth="1" style="38" min="1" max="1"/>
    <col width="12.63" customWidth="1" style="38" min="2" max="2"/>
    <col width="16.75" customWidth="1" style="38" min="3" max="3"/>
    <col width="12.13" customWidth="1" style="38" min="4" max="4"/>
    <col width="9.130000000000001" customWidth="1" style="38" min="5" max="5"/>
    <col width="22.75" customWidth="1" style="38" min="6" max="6"/>
    <col width="16.5" customWidth="1" style="38" min="7" max="7"/>
  </cols>
  <sheetData>
    <row r="1">
      <c r="A1" s="22" t="inlineStr">
        <is>
          <t>id</t>
        </is>
      </c>
      <c r="B1" s="22" t="inlineStr">
        <is>
          <t>sequence</t>
        </is>
      </c>
      <c r="C1" s="22" t="inlineStr">
        <is>
          <t>name</t>
        </is>
      </c>
      <c r="D1" s="22" t="inlineStr">
        <is>
          <t>type</t>
        </is>
      </c>
      <c r="E1" s="22" t="inlineStr">
        <is>
          <t>code</t>
        </is>
      </c>
      <c r="F1" s="22" t="inlineStr">
        <is>
          <t>default_account_id</t>
        </is>
      </c>
      <c r="G1" s="22" t="inlineStr">
        <is>
          <t>Bank Feed</t>
        </is>
      </c>
    </row>
    <row r="2">
      <c r="A2" s="31" t="inlineStr">
        <is>
          <t>account.1_bank</t>
        </is>
      </c>
      <c r="B2" s="31" t="n">
        <v>7</v>
      </c>
      <c r="C2" s="31" t="inlineStr">
        <is>
          <t>Bank</t>
        </is>
      </c>
      <c r="D2" s="31" t="inlineStr">
        <is>
          <t>Bank</t>
        </is>
      </c>
      <c r="E2" s="31" t="inlineStr">
        <is>
          <t>BNK1</t>
        </is>
      </c>
      <c r="F2" s="31" t="inlineStr">
        <is>
          <t>11120001 Bank</t>
        </is>
      </c>
      <c r="G2" s="31" t="inlineStr">
        <is>
          <t>file_import</t>
        </is>
      </c>
    </row>
    <row r="3">
      <c r="A3" s="31" t="inlineStr">
        <is>
          <t>account.1_cash</t>
        </is>
      </c>
      <c r="B3" s="31" t="n">
        <v>10</v>
      </c>
      <c r="C3" s="31" t="inlineStr">
        <is>
          <t>Kas</t>
        </is>
      </c>
      <c r="D3" s="31" t="inlineStr">
        <is>
          <t>Kas</t>
        </is>
      </c>
      <c r="E3" s="31" t="inlineStr">
        <is>
          <t>CSH1</t>
        </is>
      </c>
      <c r="F3" s="31" t="inlineStr">
        <is>
          <t>11110001 Kas</t>
        </is>
      </c>
      <c r="G3" s="31" t="inlineStr">
        <is>
          <t>file_import</t>
        </is>
      </c>
    </row>
    <row r="4">
      <c r="A4" s="31" t="inlineStr">
        <is>
          <t>account_journal_aset</t>
        </is>
      </c>
      <c r="B4" s="31" t="n">
        <v>11</v>
      </c>
      <c r="C4" s="31" t="inlineStr">
        <is>
          <t>Aset Tetap</t>
        </is>
      </c>
      <c r="D4" s="31" t="inlineStr">
        <is>
          <t>Lain-lain</t>
        </is>
      </c>
      <c r="E4" s="31" t="inlineStr">
        <is>
          <t>ASET</t>
        </is>
      </c>
      <c r="F4" s="31" t="n"/>
      <c r="G4" s="31" t="inlineStr">
        <is>
          <t>file_import</t>
        </is>
      </c>
    </row>
  </sheetData>
  <dataValidations count="3">
    <dataValidation sqref="G2:G4" showDropDown="0" showInputMessage="0" showErrorMessage="0" allowBlank="0" type="list">
      <formula1>"file_import"</formula1>
    </dataValidation>
    <dataValidation sqref="D2:D4" showDropDown="0" showInputMessage="0" showErrorMessage="0" allowBlank="0" type="list">
      <formula1>"Bank,Kas,Lain-lain"</formula1>
    </dataValidation>
    <dataValidation sqref="F2:F4" showDropDown="0" showInputMessage="0" showErrorMessage="0" allowBlank="0" type="list">
      <formula1>#REF!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6.38" customWidth="1" style="38" min="1" max="1"/>
    <col width="14.75" customWidth="1" style="38" min="2" max="2"/>
    <col width="21.5" customWidth="1" style="38" min="4" max="4"/>
    <col width="32.5" customWidth="1" style="38" min="5" max="5"/>
    <col width="18.75" customWidth="1" style="38" min="6" max="6"/>
    <col width="16" customWidth="1" style="38" min="7" max="7"/>
    <col width="20.75" customWidth="1" style="38" min="8" max="8"/>
  </cols>
  <sheetData>
    <row r="1">
      <c r="A1" s="13" t="inlineStr">
        <is>
          <t>id</t>
        </is>
      </c>
      <c r="B1" s="13" t="inlineStr">
        <is>
          <t>Reference</t>
        </is>
      </c>
      <c r="C1" s="13" t="inlineStr">
        <is>
          <t>date</t>
        </is>
      </c>
      <c r="D1" s="13" t="inlineStr">
        <is>
          <t>journal</t>
        </is>
      </c>
      <c r="E1" s="13" t="inlineStr">
        <is>
          <t>line_ids/account</t>
        </is>
      </c>
      <c r="F1" s="13" t="inlineStr">
        <is>
          <t>line_ids/debit</t>
        </is>
      </c>
      <c r="G1" s="13" t="inlineStr">
        <is>
          <t>line_ids/credit</t>
        </is>
      </c>
      <c r="H1" s="13" t="inlineStr">
        <is>
          <t>line_ids/name</t>
        </is>
      </c>
    </row>
    <row r="2">
      <c r="A2" s="31" t="inlineStr">
        <is>
          <t>account_move_opening_bank</t>
        </is>
      </c>
      <c r="B2" s="31" t="inlineStr">
        <is>
          <t>Opening Bank</t>
        </is>
      </c>
      <c r="C2" s="35" t="n"/>
      <c r="D2" s="31" t="inlineStr">
        <is>
          <t>Bank</t>
        </is>
      </c>
      <c r="E2" s="31" t="inlineStr">
        <is>
          <t>11120001 Bank</t>
        </is>
      </c>
      <c r="F2" s="32" t="n">
        <v>140000</v>
      </c>
      <c r="G2" s="32" t="n"/>
      <c r="H2" s="31" t="inlineStr">
        <is>
          <t>saldo awal bank</t>
        </is>
      </c>
    </row>
    <row r="3">
      <c r="A3" s="31" t="inlineStr">
        <is>
          <t>account_move_opening_kas</t>
        </is>
      </c>
      <c r="B3" s="31" t="inlineStr">
        <is>
          <t>Opening Kas</t>
        </is>
      </c>
      <c r="C3" s="35" t="n"/>
      <c r="D3" s="31" t="inlineStr">
        <is>
          <t>Kas</t>
        </is>
      </c>
      <c r="E3" s="31" t="inlineStr">
        <is>
          <t>11110001 Kas</t>
        </is>
      </c>
      <c r="F3" s="32" t="n">
        <v>123000</v>
      </c>
      <c r="G3" s="32" t="n"/>
      <c r="H3" s="31" t="inlineStr">
        <is>
          <t>saldo awal kas</t>
        </is>
      </c>
    </row>
  </sheetData>
  <dataValidations count="3">
    <dataValidation sqref="F2:G3" showDropDown="1" showInputMessage="0" showErrorMessage="0" allowBlank="0" type="custom">
      <formula1>AND(ISNUMBER(F2),(NOT(OR(NOT(ISERROR(DATEVALUE(F2))), AND(ISNUMBER(F2), LEFT(CELL("format", F2))="D")))))</formula1>
    </dataValidation>
    <dataValidation sqref="H2:H3" showDropDown="1" showInputMessage="0" showErrorMessage="0" allowBlank="0"/>
    <dataValidation sqref="E2:E3" showDropDown="0" showInputMessage="0" showErrorMessage="0" allowBlank="0" type="list">
      <formula1>#REF!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6.38" customWidth="1" style="38" min="1" max="1"/>
    <col width="14.75" customWidth="1" style="38" min="2" max="2"/>
    <col width="21.5" customWidth="1" style="38" min="4" max="4"/>
    <col width="32.5" customWidth="1" style="38" min="5" max="5"/>
    <col width="18.75" customWidth="1" style="38" min="6" max="6"/>
    <col width="16" customWidth="1" style="38" min="7" max="7"/>
    <col width="20.75" customWidth="1" style="38" min="8" max="8"/>
    <col width="27.63" customWidth="1" style="38" min="9" max="9"/>
    <col width="25.13" customWidth="1" style="38" min="10" max="10"/>
  </cols>
  <sheetData>
    <row r="1">
      <c r="A1" s="22" t="inlineStr">
        <is>
          <t>id</t>
        </is>
      </c>
      <c r="B1" s="22" t="inlineStr">
        <is>
          <t>Reference</t>
        </is>
      </c>
      <c r="C1" s="22" t="inlineStr">
        <is>
          <t>date</t>
        </is>
      </c>
      <c r="D1" s="22" t="inlineStr">
        <is>
          <t>journal</t>
        </is>
      </c>
      <c r="E1" s="13" t="inlineStr">
        <is>
          <t>line_ids/account</t>
        </is>
      </c>
      <c r="F1" s="13" t="inlineStr">
        <is>
          <t>line_ids/debit</t>
        </is>
      </c>
      <c r="G1" s="13" t="inlineStr">
        <is>
          <t>line_ids/credit</t>
        </is>
      </c>
      <c r="H1" s="13" t="inlineStr">
        <is>
          <t>line_ids/name</t>
        </is>
      </c>
      <c r="I1" s="13" t="inlineStr">
        <is>
          <t>line_ids/partner</t>
        </is>
      </c>
      <c r="J1" s="13" t="inlineStr">
        <is>
          <t>line_ids/date_maturity</t>
        </is>
      </c>
    </row>
    <row r="2">
      <c r="A2" s="31" t="inlineStr">
        <is>
          <t>account_move_opening_vendors</t>
        </is>
      </c>
      <c r="B2" s="31" t="inlineStr">
        <is>
          <t>Opening vendors</t>
        </is>
      </c>
      <c r="C2" s="35" t="n"/>
      <c r="D2" s="31" t="inlineStr">
        <is>
          <t>Miscellaneous Operations</t>
        </is>
      </c>
      <c r="E2" s="31" t="inlineStr">
        <is>
          <t>21100010 Hutang Usaha</t>
        </is>
      </c>
      <c r="F2" s="32" t="n"/>
      <c r="G2" s="32" t="n">
        <v>835162022</v>
      </c>
      <c r="H2" s="31" t="inlineStr">
        <is>
          <t>V00001</t>
        </is>
      </c>
      <c r="I2" s="31" t="inlineStr">
        <is>
          <t>VENDOR 1</t>
        </is>
      </c>
      <c r="J2" s="35" t="n">
        <v>45264</v>
      </c>
    </row>
    <row r="3">
      <c r="E3" s="31" t="inlineStr">
        <is>
          <t>21100010 Hutang Usaha</t>
        </is>
      </c>
      <c r="F3" s="32" t="n"/>
      <c r="G3" s="32" t="n">
        <v>457427048.1</v>
      </c>
      <c r="H3" s="31" t="inlineStr">
        <is>
          <t>V00002</t>
        </is>
      </c>
      <c r="I3" s="31" t="inlineStr">
        <is>
          <t>VENDOR 2</t>
        </is>
      </c>
      <c r="J3" s="35" t="n">
        <v>44840</v>
      </c>
    </row>
    <row r="4">
      <c r="E4" s="31" t="inlineStr">
        <is>
          <t>21100010 Hutang Usaha</t>
        </is>
      </c>
      <c r="F4" s="32" t="n"/>
      <c r="G4" s="32" t="n">
        <v>212181310</v>
      </c>
      <c r="H4" s="31" t="inlineStr">
        <is>
          <t>V00003</t>
        </is>
      </c>
      <c r="I4" s="31" t="inlineStr">
        <is>
          <t>VENDOR 3</t>
        </is>
      </c>
      <c r="J4" s="35" t="n">
        <v>44869</v>
      </c>
    </row>
    <row r="5">
      <c r="E5" s="31" t="inlineStr">
        <is>
          <t>21100010 Hutang Usaha</t>
        </is>
      </c>
      <c r="F5" s="32" t="n"/>
      <c r="G5" s="32" t="n">
        <v>280091900</v>
      </c>
      <c r="H5" s="31" t="inlineStr">
        <is>
          <t>V00004</t>
        </is>
      </c>
      <c r="I5" s="31" t="inlineStr">
        <is>
          <t>VENDOR 4</t>
        </is>
      </c>
      <c r="J5" s="35" t="n">
        <v>44851</v>
      </c>
    </row>
    <row r="6">
      <c r="E6" s="31" t="inlineStr">
        <is>
          <t>21100010 Hutang Usaha</t>
        </is>
      </c>
      <c r="F6" s="32" t="n"/>
      <c r="G6" s="32" t="n">
        <v>31285505.38</v>
      </c>
      <c r="H6" s="31" t="inlineStr">
        <is>
          <t>V00005</t>
        </is>
      </c>
      <c r="I6" s="31" t="inlineStr">
        <is>
          <t>VENDOR 5</t>
        </is>
      </c>
      <c r="J6" s="35" t="n">
        <v>44728</v>
      </c>
    </row>
    <row r="7">
      <c r="E7" s="31" t="inlineStr">
        <is>
          <t>99999900 Laba/Rugi Belum Dialokasikan</t>
        </is>
      </c>
      <c r="F7" s="32" t="n">
        <v>1816147785.48</v>
      </c>
      <c r="G7" s="32" t="n"/>
      <c r="H7" s="31" t="n"/>
      <c r="I7" s="31" t="n"/>
      <c r="J7" s="35" t="n"/>
    </row>
  </sheetData>
  <dataValidations count="4">
    <dataValidation sqref="J2:J7" showDropDown="1" showInputMessage="0" showErrorMessage="0" allowBlank="0" type="custom">
      <formula1>OR(NOT(ISERROR(DATEVALUE(J2))), AND(ISNUMBER(J2), LEFT(CELL("format", J2))="D"))</formula1>
    </dataValidation>
    <dataValidation sqref="F2:G7" showDropDown="1" showInputMessage="0" showErrorMessage="0" allowBlank="0" type="custom">
      <formula1>AND(ISNUMBER(F2),(NOT(OR(NOT(ISERROR(DATEVALUE(F2))), AND(ISNUMBER(F2), LEFT(CELL("format", F2))="D")))))</formula1>
    </dataValidation>
    <dataValidation sqref="H2:H7" showDropDown="1" showInputMessage="0" showErrorMessage="0" allowBlank="0"/>
    <dataValidation sqref="E2:E7 I2:I7" showDropDown="0" showInputMessage="0" showErrorMessage="0" allowBlank="0" type="list">
      <formula1>#REF!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J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8.38" customWidth="1" style="38" min="1" max="1"/>
    <col width="16.75" customWidth="1" style="38" min="2" max="2"/>
    <col width="10.63" customWidth="1" style="38" min="3" max="3"/>
    <col width="21.5" customWidth="1" style="38" min="4" max="4"/>
    <col width="26.88" customWidth="1" style="38" min="5" max="5"/>
    <col width="18.75" customWidth="1" style="38" min="6" max="6"/>
    <col width="19.25" customWidth="1" style="38" min="7" max="7"/>
    <col width="19.63" customWidth="1" style="38" min="8" max="8"/>
    <col width="31.75" customWidth="1" style="38" min="9" max="9"/>
    <col width="25.13" customWidth="1" style="38" min="10" max="10"/>
  </cols>
  <sheetData>
    <row r="1">
      <c r="A1" s="22" t="inlineStr">
        <is>
          <t>id</t>
        </is>
      </c>
      <c r="B1" s="22" t="inlineStr">
        <is>
          <t>Reference</t>
        </is>
      </c>
      <c r="C1" s="22" t="inlineStr">
        <is>
          <t>date</t>
        </is>
      </c>
      <c r="D1" s="22" t="inlineStr">
        <is>
          <t>journal</t>
        </is>
      </c>
      <c r="E1" s="13" t="inlineStr">
        <is>
          <t>line_ids/account</t>
        </is>
      </c>
      <c r="F1" s="13" t="inlineStr">
        <is>
          <t>line_ids/debit</t>
        </is>
      </c>
      <c r="G1" s="13" t="inlineStr">
        <is>
          <t>line_ids/credit</t>
        </is>
      </c>
      <c r="H1" s="13" t="inlineStr">
        <is>
          <t>line_ids/name</t>
        </is>
      </c>
      <c r="I1" s="13" t="inlineStr">
        <is>
          <t>line_ids/partner</t>
        </is>
      </c>
      <c r="J1" s="13" t="inlineStr">
        <is>
          <t>line_ids/date_maturity</t>
        </is>
      </c>
    </row>
    <row r="2">
      <c r="A2" s="31" t="inlineStr">
        <is>
          <t>account_move_opening_customers</t>
        </is>
      </c>
      <c r="B2" s="31" t="inlineStr">
        <is>
          <t>Opening customers</t>
        </is>
      </c>
      <c r="C2" s="35" t="n"/>
      <c r="D2" s="31" t="inlineStr">
        <is>
          <t>Miscellaneous Operations</t>
        </is>
      </c>
      <c r="E2" s="31" t="inlineStr">
        <is>
          <t>11210010 Piutang Usaha</t>
        </is>
      </c>
      <c r="F2" s="32" t="n">
        <v>18000000</v>
      </c>
      <c r="G2" s="32" t="n"/>
      <c r="H2" s="33" t="inlineStr">
        <is>
          <t>C00001</t>
        </is>
      </c>
      <c r="I2" s="31" t="inlineStr">
        <is>
          <t>CUSTOMER 1</t>
        </is>
      </c>
      <c r="J2" s="35" t="n">
        <v>45243</v>
      </c>
    </row>
    <row r="3">
      <c r="E3" s="31" t="inlineStr">
        <is>
          <t>11210010 Piutang Usaha</t>
        </is>
      </c>
      <c r="F3" s="32" t="n">
        <v>526867265</v>
      </c>
      <c r="G3" s="32" t="n"/>
      <c r="H3" s="33" t="inlineStr">
        <is>
          <t>C00002</t>
        </is>
      </c>
      <c r="I3" s="31" t="inlineStr">
        <is>
          <t>CUSTOMER 2</t>
        </is>
      </c>
      <c r="J3" s="35" t="n">
        <v>44714</v>
      </c>
    </row>
    <row r="4">
      <c r="E4" s="31" t="inlineStr">
        <is>
          <t>11210010 Piutang Usaha</t>
        </is>
      </c>
      <c r="F4" s="32" t="n">
        <v>132090000</v>
      </c>
      <c r="G4" s="32" t="n"/>
      <c r="H4" s="33" t="inlineStr">
        <is>
          <t>C00003</t>
        </is>
      </c>
      <c r="I4" s="31" t="inlineStr">
        <is>
          <t>CUSTOMER 3</t>
        </is>
      </c>
      <c r="J4" s="35" t="n">
        <v>45231</v>
      </c>
    </row>
    <row r="5">
      <c r="E5" s="31" t="inlineStr">
        <is>
          <t>99999900 Laba/Rugi Belum Dialokasikan</t>
        </is>
      </c>
      <c r="F5" s="32" t="n"/>
      <c r="G5" s="32" t="n">
        <v>676957265</v>
      </c>
      <c r="H5" s="33" t="n"/>
      <c r="I5" s="31" t="n"/>
      <c r="J5" s="35" t="n"/>
    </row>
  </sheetData>
  <dataValidations count="4">
    <dataValidation sqref="J2:J5" showDropDown="1" showInputMessage="0" showErrorMessage="0" allowBlank="0" type="custom">
      <formula1>OR(NOT(ISERROR(DATEVALUE(J2))), AND(ISNUMBER(J2), LEFT(CELL("format", J2))="D"))</formula1>
    </dataValidation>
    <dataValidation sqref="F2:G5" showDropDown="1" showInputMessage="0" showErrorMessage="0" allowBlank="0" type="custom">
      <formula1>AND(ISNUMBER(F2),(NOT(OR(NOT(ISERROR(DATEVALUE(F2))), AND(ISNUMBER(F2), LEFT(CELL("format", F2))="D")))))</formula1>
    </dataValidation>
    <dataValidation sqref="H2:H5" showDropDown="1" showInputMessage="0" showErrorMessage="0" allowBlank="0"/>
    <dataValidation sqref="E2:E5 I2:I5" showDropDown="0" showInputMessage="0" showErrorMessage="0" allowBlank="0" type="list">
      <formula1>#REF!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K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5" customWidth="1" style="38" min="1" max="1"/>
    <col width="12" customWidth="1" style="38" min="2" max="2"/>
    <col width="20.88" customWidth="1" style="38" min="3" max="3"/>
    <col width="15.63" customWidth="1" style="38" min="4" max="4"/>
    <col width="26.63" customWidth="1" style="38" min="5" max="5"/>
    <col width="43.88" customWidth="1" style="38" min="6" max="6"/>
    <col width="33.75" customWidth="1" style="38" min="7" max="7"/>
    <col width="17.63" customWidth="1" style="38" min="8" max="8"/>
    <col width="19.88" customWidth="1" style="38" min="9" max="9"/>
    <col width="14.5" customWidth="1" style="38" min="10" max="10"/>
    <col width="18.88" customWidth="1" style="38" min="11" max="11"/>
  </cols>
  <sheetData>
    <row r="1">
      <c r="A1" s="22" t="inlineStr">
        <is>
          <t>id</t>
        </is>
      </c>
      <c r="B1" s="13" t="inlineStr">
        <is>
          <t>name</t>
        </is>
      </c>
      <c r="C1" s="13" t="inlineStr">
        <is>
          <t>acquisition_date</t>
        </is>
      </c>
      <c r="D1" s="34" t="inlineStr">
        <is>
          <t>original_value</t>
        </is>
      </c>
      <c r="E1" s="13" t="inlineStr">
        <is>
          <t>account_asset_id</t>
        </is>
      </c>
      <c r="F1" s="13" t="inlineStr">
        <is>
          <t>account_depreciation_id</t>
        </is>
      </c>
      <c r="G1" s="13" t="inlineStr">
        <is>
          <t>account_depreciation_expense_id</t>
        </is>
      </c>
      <c r="H1" s="13" t="inlineStr">
        <is>
          <t>method_number</t>
        </is>
      </c>
      <c r="I1" s="22" t="inlineStr">
        <is>
          <t>method_period</t>
        </is>
      </c>
      <c r="J1" s="22" t="inlineStr">
        <is>
          <t>method</t>
        </is>
      </c>
      <c r="K1" s="22" t="inlineStr">
        <is>
          <t>Jurnal</t>
        </is>
      </c>
    </row>
    <row r="2">
      <c r="A2" s="31" t="inlineStr">
        <is>
          <t>account_asset_00001</t>
        </is>
      </c>
      <c r="B2" s="31" t="inlineStr">
        <is>
          <t>Laptop iBook</t>
        </is>
      </c>
      <c r="C2" s="35" t="n">
        <v>46023</v>
      </c>
      <c r="D2" s="32" t="n">
        <v>2000000</v>
      </c>
      <c r="E2" s="31" t="inlineStr">
        <is>
          <t>12210030 Peralatan Kantor</t>
        </is>
      </c>
      <c r="F2" s="31" t="inlineStr">
        <is>
          <t>12281030 Akumulasi Penyusutan Peralatan Kantor</t>
        </is>
      </c>
      <c r="G2" s="31" t="inlineStr">
        <is>
          <t>67100030 Peralatan Kantor</t>
        </is>
      </c>
      <c r="H2" s="31" t="n">
        <v>60</v>
      </c>
      <c r="I2" s="31" t="inlineStr">
        <is>
          <t>Bulan</t>
        </is>
      </c>
      <c r="J2" s="31" t="inlineStr">
        <is>
          <t>Garis Lurus</t>
        </is>
      </c>
      <c r="K2" s="31" t="inlineStr">
        <is>
          <t>Aset Tetap</t>
        </is>
      </c>
    </row>
    <row r="3">
      <c r="A3" s="31" t="inlineStr">
        <is>
          <t>account_asset_00002</t>
        </is>
      </c>
      <c r="B3" s="31" t="inlineStr">
        <is>
          <t>Laptop X</t>
        </is>
      </c>
      <c r="C3" s="35" t="n">
        <v>46023</v>
      </c>
      <c r="D3" s="32" t="n">
        <v>300000</v>
      </c>
      <c r="E3" s="31" t="inlineStr">
        <is>
          <t>12210030 Peralatan Kantor</t>
        </is>
      </c>
      <c r="F3" s="31" t="inlineStr">
        <is>
          <t>12281030 Akumulasi Penyusutan Peralatan Kantor</t>
        </is>
      </c>
      <c r="G3" s="31" t="inlineStr">
        <is>
          <t>67100030 Peralatan Kantor</t>
        </is>
      </c>
      <c r="H3" s="31" t="n">
        <v>40</v>
      </c>
      <c r="I3" s="31" t="inlineStr">
        <is>
          <t>Bulan</t>
        </is>
      </c>
      <c r="J3" s="31" t="inlineStr">
        <is>
          <t>Garis Lurus</t>
        </is>
      </c>
      <c r="K3" s="31" t="inlineStr">
        <is>
          <t>Aset Tetap</t>
        </is>
      </c>
    </row>
    <row r="4">
      <c r="D4" s="36" t="n"/>
    </row>
    <row r="5">
      <c r="D5" s="36" t="n"/>
    </row>
    <row r="6">
      <c r="D6" s="36" t="n"/>
    </row>
    <row r="7">
      <c r="D7" s="36" t="n"/>
    </row>
    <row r="8">
      <c r="D8" s="36" t="n"/>
    </row>
  </sheetData>
  <dataValidations count="5">
    <dataValidation sqref="J2:J3" showDropDown="0" showInputMessage="0" showErrorMessage="0" allowBlank="0" type="list">
      <formula1>"Garis Lurus"</formula1>
    </dataValidation>
    <dataValidation sqref="C2:C3" showDropDown="1" showInputMessage="0" showErrorMessage="0" allowBlank="0" type="custom">
      <formula1>OR(NOT(ISERROR(DATEVALUE(C2))), AND(ISNUMBER(C2), LEFT(CELL("format", C2))="D"))</formula1>
    </dataValidation>
    <dataValidation sqref="I2:I3" showDropDown="0" showInputMessage="0" showErrorMessage="0" allowBlank="0" type="list">
      <formula1>"Bulan"</formula1>
    </dataValidation>
    <dataValidation sqref="D2:D3" showDropDown="1" showInputMessage="0" showErrorMessage="0" allowBlank="0" type="custom">
      <formula1>AND(ISNUMBER(D2),(NOT(OR(NOT(ISERROR(DATEVALUE(D2))), AND(ISNUMBER(D2), LEFT(CELL("format", D2))="D")))))</formula1>
    </dataValidation>
    <dataValidation sqref="E2:G3 K2:K3" showDropDown="0" showInputMessage="0" showErrorMessage="0" allowBlank="0" type="list">
      <formula1>#REF!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I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" customWidth="1" style="38" min="1" max="1"/>
    <col width="15" customWidth="1" style="38" min="2" max="2"/>
    <col width="26.63" customWidth="1" style="38" min="3" max="3"/>
    <col width="37.63" customWidth="1" style="38" min="4" max="4"/>
    <col width="33.75" customWidth="1" style="38" min="5" max="5"/>
    <col width="14.5" customWidth="1" style="38" min="6" max="6"/>
    <col width="17.63" customWidth="1" style="38" min="7" max="7"/>
    <col width="19.88" customWidth="1" style="38" min="8" max="8"/>
    <col width="18.88" customWidth="1" style="38" min="9" max="9"/>
  </cols>
  <sheetData>
    <row r="1">
      <c r="A1" s="22" t="inlineStr">
        <is>
          <t>id</t>
        </is>
      </c>
      <c r="B1" s="22" t="inlineStr">
        <is>
          <t>name</t>
        </is>
      </c>
      <c r="C1" s="22" t="inlineStr">
        <is>
          <t>account_asset_id</t>
        </is>
      </c>
      <c r="D1" s="22" t="inlineStr">
        <is>
          <t>account_depreciation_id</t>
        </is>
      </c>
      <c r="E1" s="22" t="inlineStr">
        <is>
          <t>account_depreciation_expense_id</t>
        </is>
      </c>
      <c r="F1" s="22" t="inlineStr">
        <is>
          <t>method</t>
        </is>
      </c>
      <c r="G1" s="22" t="inlineStr">
        <is>
          <t>method_number</t>
        </is>
      </c>
      <c r="H1" s="22" t="inlineStr">
        <is>
          <t>method_period</t>
        </is>
      </c>
      <c r="I1" s="22" t="inlineStr">
        <is>
          <t>Jurnal</t>
        </is>
      </c>
    </row>
    <row r="2">
      <c r="A2" s="31" t="inlineStr">
        <is>
          <t>account_asset_model_001</t>
        </is>
      </c>
      <c r="B2" s="31" t="inlineStr">
        <is>
          <t>Bangunan Kantor</t>
        </is>
      </c>
      <c r="C2" s="31" t="inlineStr">
        <is>
          <t>12210010 Bangunan Kantor</t>
        </is>
      </c>
      <c r="D2" s="31" t="inlineStr">
        <is>
          <t>12281010 Akumulasi Penyusutan Bangunan Kantor</t>
        </is>
      </c>
      <c r="E2" s="31" t="inlineStr">
        <is>
          <t>67100010 Bangunan Kantor</t>
        </is>
      </c>
      <c r="F2" s="31" t="inlineStr">
        <is>
          <t>Garis Lurus</t>
        </is>
      </c>
      <c r="G2" s="31" t="n">
        <v>60</v>
      </c>
      <c r="H2" s="31" t="inlineStr">
        <is>
          <t>Bulan</t>
        </is>
      </c>
      <c r="I2" s="31" t="inlineStr">
        <is>
          <t>Aset Tetap</t>
        </is>
      </c>
    </row>
    <row r="3">
      <c r="A3" s="31" t="inlineStr">
        <is>
          <t>account_asset_model_002</t>
        </is>
      </c>
      <c r="B3" s="31" t="inlineStr">
        <is>
          <t>Kendaraan</t>
        </is>
      </c>
      <c r="C3" s="31" t="inlineStr">
        <is>
          <t>12210020 Kendaraan</t>
        </is>
      </c>
      <c r="D3" s="31" t="inlineStr">
        <is>
          <t>12281020 Akumulasi Penyusutan Kendaraan</t>
        </is>
      </c>
      <c r="E3" s="31" t="inlineStr">
        <is>
          <t>67100020 Kendaraan</t>
        </is>
      </c>
      <c r="F3" s="31" t="inlineStr">
        <is>
          <t>Garis Lurus</t>
        </is>
      </c>
      <c r="G3" s="31" t="n">
        <v>60</v>
      </c>
      <c r="H3" s="31" t="inlineStr">
        <is>
          <t>Bulan</t>
        </is>
      </c>
      <c r="I3" s="31" t="inlineStr">
        <is>
          <t>Aset Tetap</t>
        </is>
      </c>
    </row>
    <row r="4">
      <c r="A4" s="31" t="inlineStr">
        <is>
          <t>account_asset_model_003</t>
        </is>
      </c>
      <c r="B4" s="31" t="inlineStr">
        <is>
          <t>Peralatan Kantor</t>
        </is>
      </c>
      <c r="C4" s="31" t="inlineStr">
        <is>
          <t>12210030 Peralatan Kantor</t>
        </is>
      </c>
      <c r="D4" s="31" t="inlineStr">
        <is>
          <t>12281030 Akumulasi Penyusutan Peralatan Kantor</t>
        </is>
      </c>
      <c r="E4" s="31" t="inlineStr">
        <is>
          <t>67100030 Peralatan Kantor</t>
        </is>
      </c>
      <c r="F4" s="31" t="inlineStr">
        <is>
          <t>Garis Lurus</t>
        </is>
      </c>
      <c r="G4" s="31" t="n">
        <v>60</v>
      </c>
      <c r="H4" s="31" t="inlineStr">
        <is>
          <t>Bulan</t>
        </is>
      </c>
      <c r="I4" s="31" t="inlineStr">
        <is>
          <t>Aset Tetap</t>
        </is>
      </c>
    </row>
  </sheetData>
  <dataValidations count="3">
    <dataValidation sqref="F2:F4" showDropDown="0" showInputMessage="0" showErrorMessage="0" allowBlank="0" type="list">
      <formula1>"Garis Lurus"</formula1>
    </dataValidation>
    <dataValidation sqref="H2:H4" showDropDown="0" showInputMessage="0" showErrorMessage="0" allowBlank="0" type="list">
      <formula1>"Bulan"</formula1>
    </dataValidation>
    <dataValidation sqref="C2:E4 I2:I4" showDropDown="0" showInputMessage="0" showErrorMessage="0" allowBlank="0" type="list">
      <formula1>#REF!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D3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25" customWidth="1" style="38" min="1" max="1"/>
    <col width="17" customWidth="1" style="38" min="2" max="2"/>
    <col width="4.75" customWidth="1" style="38" min="3" max="3"/>
    <col width="13.13" customWidth="1" style="38" min="4" max="4"/>
  </cols>
  <sheetData>
    <row r="1">
      <c r="A1" s="22" t="inlineStr">
        <is>
          <t>id</t>
        </is>
      </c>
      <c r="B1" s="22" t="inlineStr">
        <is>
          <t>name</t>
        </is>
      </c>
      <c r="C1" s="22" t="inlineStr">
        <is>
          <t>code</t>
        </is>
      </c>
      <c r="D1" s="22" t="inlineStr">
        <is>
          <t>country_id</t>
        </is>
      </c>
    </row>
    <row r="2">
      <c r="A2" s="31" t="inlineStr">
        <is>
          <t>base.state_id_ac</t>
        </is>
      </c>
      <c r="B2" s="31" t="inlineStr">
        <is>
          <t>Aceh</t>
        </is>
      </c>
      <c r="C2" s="31" t="inlineStr">
        <is>
          <t>AC</t>
        </is>
      </c>
      <c r="D2" s="31" t="inlineStr">
        <is>
          <t>Indonesia</t>
        </is>
      </c>
    </row>
    <row r="3">
      <c r="A3" s="31" t="inlineStr">
        <is>
          <t>base.state_id_ba</t>
        </is>
      </c>
      <c r="B3" s="31" t="inlineStr">
        <is>
          <t>Bali</t>
        </is>
      </c>
      <c r="C3" s="31" t="inlineStr">
        <is>
          <t>BA</t>
        </is>
      </c>
      <c r="D3" s="31" t="inlineStr">
        <is>
          <t>Indonesia</t>
        </is>
      </c>
    </row>
    <row r="4">
      <c r="A4" s="31" t="inlineStr">
        <is>
          <t>base.state_id_bb</t>
        </is>
      </c>
      <c r="B4" s="31" t="inlineStr">
        <is>
          <t>Bangka Belitung</t>
        </is>
      </c>
      <c r="C4" s="31" t="inlineStr">
        <is>
          <t>BB</t>
        </is>
      </c>
      <c r="D4" s="31" t="inlineStr">
        <is>
          <t>Indonesia</t>
        </is>
      </c>
    </row>
    <row r="5">
      <c r="A5" s="31" t="inlineStr">
        <is>
          <t>base.state_id_be</t>
        </is>
      </c>
      <c r="B5" s="31" t="inlineStr">
        <is>
          <t>Bengkulu</t>
        </is>
      </c>
      <c r="C5" s="31" t="inlineStr">
        <is>
          <t>BE</t>
        </is>
      </c>
      <c r="D5" s="31" t="inlineStr">
        <is>
          <t>Indonesia</t>
        </is>
      </c>
    </row>
    <row r="6">
      <c r="A6" s="31" t="inlineStr">
        <is>
          <t>base.state_id_bt</t>
        </is>
      </c>
      <c r="B6" s="31" t="inlineStr">
        <is>
          <t>Banten</t>
        </is>
      </c>
      <c r="C6" s="31" t="inlineStr">
        <is>
          <t>BT</t>
        </is>
      </c>
      <c r="D6" s="31" t="inlineStr">
        <is>
          <t>Indonesia</t>
        </is>
      </c>
    </row>
    <row r="7">
      <c r="A7" s="31" t="inlineStr">
        <is>
          <t>base.state_id_go</t>
        </is>
      </c>
      <c r="B7" s="31" t="inlineStr">
        <is>
          <t>Gorontalo</t>
        </is>
      </c>
      <c r="C7" s="31" t="inlineStr">
        <is>
          <t>GO</t>
        </is>
      </c>
      <c r="D7" s="31" t="inlineStr">
        <is>
          <t>Indonesia</t>
        </is>
      </c>
    </row>
    <row r="8">
      <c r="A8" s="31" t="inlineStr">
        <is>
          <t>base.state_id_ja</t>
        </is>
      </c>
      <c r="B8" s="31" t="inlineStr">
        <is>
          <t>Jambi</t>
        </is>
      </c>
      <c r="C8" s="31" t="inlineStr">
        <is>
          <t>JA</t>
        </is>
      </c>
      <c r="D8" s="31" t="inlineStr">
        <is>
          <t>Indonesia</t>
        </is>
      </c>
    </row>
    <row r="9">
      <c r="A9" s="31" t="inlineStr">
        <is>
          <t>base.state_id_jb</t>
        </is>
      </c>
      <c r="B9" s="31" t="inlineStr">
        <is>
          <t>Jawa Barat</t>
        </is>
      </c>
      <c r="C9" s="31" t="inlineStr">
        <is>
          <t>JB</t>
        </is>
      </c>
      <c r="D9" s="31" t="inlineStr">
        <is>
          <t>Indonesia</t>
        </is>
      </c>
    </row>
    <row r="10">
      <c r="A10" s="31" t="inlineStr">
        <is>
          <t>base.state_id_ji</t>
        </is>
      </c>
      <c r="B10" s="31" t="inlineStr">
        <is>
          <t>Jawa Timur</t>
        </is>
      </c>
      <c r="C10" s="31" t="inlineStr">
        <is>
          <t>JI</t>
        </is>
      </c>
      <c r="D10" s="31" t="inlineStr">
        <is>
          <t>Indonesia</t>
        </is>
      </c>
    </row>
    <row r="11">
      <c r="A11" s="31" t="inlineStr">
        <is>
          <t>base.state_id_jk</t>
        </is>
      </c>
      <c r="B11" s="31" t="inlineStr">
        <is>
          <t>Jakarta</t>
        </is>
      </c>
      <c r="C11" s="31" t="inlineStr">
        <is>
          <t>JK</t>
        </is>
      </c>
      <c r="D11" s="31" t="inlineStr">
        <is>
          <t>Indonesia</t>
        </is>
      </c>
    </row>
    <row r="12">
      <c r="A12" s="31" t="inlineStr">
        <is>
          <t>base.state_id_jt</t>
        </is>
      </c>
      <c r="B12" s="31" t="inlineStr">
        <is>
          <t>Jawa Tengah</t>
        </is>
      </c>
      <c r="C12" s="31" t="inlineStr">
        <is>
          <t>JT</t>
        </is>
      </c>
      <c r="D12" s="31" t="inlineStr">
        <is>
          <t>Indonesia</t>
        </is>
      </c>
    </row>
    <row r="13">
      <c r="A13" s="31" t="inlineStr">
        <is>
          <t>base.state_id_kb</t>
        </is>
      </c>
      <c r="B13" s="31" t="inlineStr">
        <is>
          <t>Kalimantan Barat</t>
        </is>
      </c>
      <c r="C13" s="31" t="inlineStr">
        <is>
          <t>KB</t>
        </is>
      </c>
      <c r="D13" s="31" t="inlineStr">
        <is>
          <t>Indonesia</t>
        </is>
      </c>
    </row>
    <row r="14">
      <c r="A14" s="31" t="inlineStr">
        <is>
          <t>base.state_id_ki</t>
        </is>
      </c>
      <c r="B14" s="31" t="inlineStr">
        <is>
          <t>Kalimantan Timur</t>
        </is>
      </c>
      <c r="C14" s="31" t="inlineStr">
        <is>
          <t>KI</t>
        </is>
      </c>
      <c r="D14" s="31" t="inlineStr">
        <is>
          <t>Indonesia</t>
        </is>
      </c>
    </row>
    <row r="15">
      <c r="A15" s="31" t="inlineStr">
        <is>
          <t>base.state_id_kr</t>
        </is>
      </c>
      <c r="B15" s="31" t="inlineStr">
        <is>
          <t>Kepulauan Riau</t>
        </is>
      </c>
      <c r="C15" s="31" t="inlineStr">
        <is>
          <t>KR</t>
        </is>
      </c>
      <c r="D15" s="31" t="inlineStr">
        <is>
          <t>Indonesia</t>
        </is>
      </c>
    </row>
    <row r="16">
      <c r="A16" s="31" t="inlineStr">
        <is>
          <t>base.state_id_ks</t>
        </is>
      </c>
      <c r="B16" s="31" t="inlineStr">
        <is>
          <t>Kalimantan Selatan</t>
        </is>
      </c>
      <c r="C16" s="31" t="inlineStr">
        <is>
          <t>KS</t>
        </is>
      </c>
      <c r="D16" s="31" t="inlineStr">
        <is>
          <t>Indonesia</t>
        </is>
      </c>
    </row>
    <row r="17">
      <c r="A17" s="31" t="inlineStr">
        <is>
          <t>base.state_id_kt</t>
        </is>
      </c>
      <c r="B17" s="31" t="inlineStr">
        <is>
          <t>Kalimantan Tengah</t>
        </is>
      </c>
      <c r="C17" s="31" t="inlineStr">
        <is>
          <t>KT</t>
        </is>
      </c>
      <c r="D17" s="31" t="inlineStr">
        <is>
          <t>Indonesia</t>
        </is>
      </c>
    </row>
    <row r="18">
      <c r="A18" s="31" t="inlineStr">
        <is>
          <t>base.state_id_ku</t>
        </is>
      </c>
      <c r="B18" s="31" t="inlineStr">
        <is>
          <t>Kalimantan Utara</t>
        </is>
      </c>
      <c r="C18" s="31" t="inlineStr">
        <is>
          <t>KU</t>
        </is>
      </c>
      <c r="D18" s="31" t="inlineStr">
        <is>
          <t>Indonesia</t>
        </is>
      </c>
    </row>
    <row r="19">
      <c r="A19" s="31" t="inlineStr">
        <is>
          <t>base.state_id_la</t>
        </is>
      </c>
      <c r="B19" s="31" t="inlineStr">
        <is>
          <t>Lampung</t>
        </is>
      </c>
      <c r="C19" s="31" t="inlineStr">
        <is>
          <t>LA</t>
        </is>
      </c>
      <c r="D19" s="31" t="inlineStr">
        <is>
          <t>Indonesia</t>
        </is>
      </c>
    </row>
    <row r="20">
      <c r="A20" s="31" t="inlineStr">
        <is>
          <t>base.state_id_ma</t>
        </is>
      </c>
      <c r="B20" s="31" t="inlineStr">
        <is>
          <t>Maluku</t>
        </is>
      </c>
      <c r="C20" s="31" t="inlineStr">
        <is>
          <t>MA</t>
        </is>
      </c>
      <c r="D20" s="31" t="inlineStr">
        <is>
          <t>Indonesia</t>
        </is>
      </c>
    </row>
    <row r="21">
      <c r="A21" s="31" t="inlineStr">
        <is>
          <t>base.state_id_mu</t>
        </is>
      </c>
      <c r="B21" s="31" t="inlineStr">
        <is>
          <t>Maluku Utara</t>
        </is>
      </c>
      <c r="C21" s="31" t="inlineStr">
        <is>
          <t>MU</t>
        </is>
      </c>
      <c r="D21" s="31" t="inlineStr">
        <is>
          <t>Indonesia</t>
        </is>
      </c>
    </row>
    <row r="22">
      <c r="A22" s="31" t="inlineStr">
        <is>
          <t>base.state_id_nb</t>
        </is>
      </c>
      <c r="B22" s="31" t="inlineStr">
        <is>
          <t>Nusa Tenggara Barat</t>
        </is>
      </c>
      <c r="C22" s="31" t="inlineStr">
        <is>
          <t>NB</t>
        </is>
      </c>
      <c r="D22" s="31" t="inlineStr">
        <is>
          <t>Indonesia</t>
        </is>
      </c>
    </row>
    <row r="23">
      <c r="A23" s="31" t="inlineStr">
        <is>
          <t>base.state_id_nt</t>
        </is>
      </c>
      <c r="B23" s="31" t="inlineStr">
        <is>
          <t>Nusa Tenggara Timur</t>
        </is>
      </c>
      <c r="C23" s="31" t="inlineStr">
        <is>
          <t>NT</t>
        </is>
      </c>
      <c r="D23" s="31" t="inlineStr">
        <is>
          <t>Indonesia</t>
        </is>
      </c>
    </row>
    <row r="24">
      <c r="A24" s="31" t="inlineStr">
        <is>
          <t>base.state_id_pa</t>
        </is>
      </c>
      <c r="B24" s="31" t="inlineStr">
        <is>
          <t>Papua</t>
        </is>
      </c>
      <c r="C24" s="31" t="inlineStr">
        <is>
          <t>PA</t>
        </is>
      </c>
      <c r="D24" s="31" t="inlineStr">
        <is>
          <t>Indonesia</t>
        </is>
      </c>
    </row>
    <row r="25">
      <c r="A25" s="31" t="inlineStr">
        <is>
          <t>base.state_id_pb</t>
        </is>
      </c>
      <c r="B25" s="31" t="inlineStr">
        <is>
          <t>Papua Barat</t>
        </is>
      </c>
      <c r="C25" s="31" t="inlineStr">
        <is>
          <t>PB</t>
        </is>
      </c>
      <c r="D25" s="31" t="inlineStr">
        <is>
          <t>Indonesia</t>
        </is>
      </c>
    </row>
    <row r="26">
      <c r="A26" s="31" t="inlineStr">
        <is>
          <t>base.state_id_pd</t>
        </is>
      </c>
      <c r="B26" s="31" t="inlineStr">
        <is>
          <t>Papua Barat Daya</t>
        </is>
      </c>
      <c r="C26" s="31" t="inlineStr">
        <is>
          <t>PD</t>
        </is>
      </c>
      <c r="D26" s="31" t="inlineStr">
        <is>
          <t>Indonesia</t>
        </is>
      </c>
    </row>
    <row r="27">
      <c r="A27" s="31" t="inlineStr">
        <is>
          <t>base.state_id_pe</t>
        </is>
      </c>
      <c r="B27" s="31" t="inlineStr">
        <is>
          <t>Papua Pegunungan</t>
        </is>
      </c>
      <c r="C27" s="31" t="inlineStr">
        <is>
          <t>PE</t>
        </is>
      </c>
      <c r="D27" s="31" t="inlineStr">
        <is>
          <t>Indonesia</t>
        </is>
      </c>
    </row>
    <row r="28">
      <c r="A28" s="31" t="inlineStr">
        <is>
          <t>base.state_id_ps</t>
        </is>
      </c>
      <c r="B28" s="31" t="inlineStr">
        <is>
          <t>Papua Selatan</t>
        </is>
      </c>
      <c r="C28" s="31" t="inlineStr">
        <is>
          <t>PS</t>
        </is>
      </c>
      <c r="D28" s="31" t="inlineStr">
        <is>
          <t>Indonesia</t>
        </is>
      </c>
    </row>
    <row r="29">
      <c r="A29" s="31" t="inlineStr">
        <is>
          <t>base.state_id_pt</t>
        </is>
      </c>
      <c r="B29" s="31" t="inlineStr">
        <is>
          <t>Papua Tengah</t>
        </is>
      </c>
      <c r="C29" s="31" t="inlineStr">
        <is>
          <t>PT</t>
        </is>
      </c>
      <c r="D29" s="31" t="inlineStr">
        <is>
          <t>Indonesia</t>
        </is>
      </c>
    </row>
    <row r="30">
      <c r="A30" s="31" t="inlineStr">
        <is>
          <t>base.state_id_ri</t>
        </is>
      </c>
      <c r="B30" s="31" t="inlineStr">
        <is>
          <t>Riau</t>
        </is>
      </c>
      <c r="C30" s="31" t="inlineStr">
        <is>
          <t>RI</t>
        </is>
      </c>
      <c r="D30" s="31" t="inlineStr">
        <is>
          <t>Indonesia</t>
        </is>
      </c>
    </row>
    <row r="31">
      <c r="A31" s="31" t="inlineStr">
        <is>
          <t>base.state_id_sa</t>
        </is>
      </c>
      <c r="B31" s="31" t="inlineStr">
        <is>
          <t>Sulawesi Utara</t>
        </is>
      </c>
      <c r="C31" s="31" t="inlineStr">
        <is>
          <t>SA</t>
        </is>
      </c>
      <c r="D31" s="31" t="inlineStr">
        <is>
          <t>Indonesia</t>
        </is>
      </c>
    </row>
    <row r="32">
      <c r="A32" s="31" t="inlineStr">
        <is>
          <t>base.state_id_sb</t>
        </is>
      </c>
      <c r="B32" s="31" t="inlineStr">
        <is>
          <t>Sumatra Barat</t>
        </is>
      </c>
      <c r="C32" s="31" t="inlineStr">
        <is>
          <t>SB</t>
        </is>
      </c>
      <c r="D32" s="31" t="inlineStr">
        <is>
          <t>Indonesia</t>
        </is>
      </c>
    </row>
    <row r="33">
      <c r="A33" s="31" t="inlineStr">
        <is>
          <t>base.state_id_sg</t>
        </is>
      </c>
      <c r="B33" s="31" t="inlineStr">
        <is>
          <t>Sulawesi Tenggara</t>
        </is>
      </c>
      <c r="C33" s="31" t="inlineStr">
        <is>
          <t>SG</t>
        </is>
      </c>
      <c r="D33" s="31" t="inlineStr">
        <is>
          <t>Indonesia</t>
        </is>
      </c>
    </row>
    <row r="34">
      <c r="A34" s="31" t="inlineStr">
        <is>
          <t>base.state_id_sn</t>
        </is>
      </c>
      <c r="B34" s="31" t="inlineStr">
        <is>
          <t>Sulawesi Selatan</t>
        </is>
      </c>
      <c r="C34" s="31" t="inlineStr">
        <is>
          <t>SN</t>
        </is>
      </c>
      <c r="D34" s="31" t="inlineStr">
        <is>
          <t>Indonesia</t>
        </is>
      </c>
    </row>
    <row r="35">
      <c r="A35" s="31" t="inlineStr">
        <is>
          <t>base.state_id_sr</t>
        </is>
      </c>
      <c r="B35" s="31" t="inlineStr">
        <is>
          <t>Sulawesi Barat</t>
        </is>
      </c>
      <c r="C35" s="31" t="inlineStr">
        <is>
          <t>SR</t>
        </is>
      </c>
      <c r="D35" s="31" t="inlineStr">
        <is>
          <t>Indonesia</t>
        </is>
      </c>
    </row>
    <row r="36">
      <c r="A36" s="31" t="inlineStr">
        <is>
          <t>base.state_id_ss</t>
        </is>
      </c>
      <c r="B36" s="31" t="inlineStr">
        <is>
          <t>Sumatra Selatan</t>
        </is>
      </c>
      <c r="C36" s="31" t="inlineStr">
        <is>
          <t>SS</t>
        </is>
      </c>
      <c r="D36" s="31" t="inlineStr">
        <is>
          <t>Indonesia</t>
        </is>
      </c>
    </row>
    <row r="37">
      <c r="A37" s="31" t="inlineStr">
        <is>
          <t>base.state_id_st</t>
        </is>
      </c>
      <c r="B37" s="31" t="inlineStr">
        <is>
          <t>Sulawesi Tengah</t>
        </is>
      </c>
      <c r="C37" s="31" t="inlineStr">
        <is>
          <t>ST</t>
        </is>
      </c>
      <c r="D37" s="31" t="inlineStr">
        <is>
          <t>Indonesia</t>
        </is>
      </c>
    </row>
    <row r="38">
      <c r="A38" s="31" t="inlineStr">
        <is>
          <t>base.state_id_su</t>
        </is>
      </c>
      <c r="B38" s="31" t="inlineStr">
        <is>
          <t>Sumatra Utara</t>
        </is>
      </c>
      <c r="C38" s="31" t="inlineStr">
        <is>
          <t>SU</t>
        </is>
      </c>
      <c r="D38" s="31" t="inlineStr">
        <is>
          <t>Indonesia</t>
        </is>
      </c>
    </row>
    <row r="39">
      <c r="A39" s="31" t="inlineStr">
        <is>
          <t>base.state_id_yo</t>
        </is>
      </c>
      <c r="B39" s="31" t="inlineStr">
        <is>
          <t>Yogyakarta</t>
        </is>
      </c>
      <c r="C39" s="31" t="inlineStr">
        <is>
          <t>YO</t>
        </is>
      </c>
      <c r="D39" s="31" t="inlineStr">
        <is>
          <t>Indonesia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.63" customWidth="1" style="38" min="1" max="1"/>
    <col width="18.38" customWidth="1" style="38" min="4" max="4"/>
    <col width="22.13" customWidth="1" style="38" min="5" max="5"/>
    <col width="35" customWidth="1" style="38" min="6" max="6"/>
  </cols>
  <sheetData>
    <row r="1">
      <c r="A1" s="22" t="inlineStr">
        <is>
          <t>name</t>
        </is>
      </c>
      <c r="B1" s="22" t="inlineStr">
        <is>
          <t>npl</t>
        </is>
      </c>
      <c r="C1" s="22" t="inlineStr">
        <is>
          <t>group</t>
        </is>
      </c>
      <c r="D1" s="22" t="inlineStr">
        <is>
          <t>code</t>
        </is>
      </c>
      <c r="E1" s="37" t="inlineStr">
        <is>
          <t>npl group name level 2</t>
        </is>
      </c>
      <c r="F1" s="22" t="inlineStr">
        <is>
          <t>npl group name level 3</t>
        </is>
      </c>
    </row>
    <row r="2">
      <c r="A2" s="31" t="inlineStr">
        <is>
          <t>Piutang</t>
        </is>
      </c>
      <c r="B2" s="31" t="inlineStr">
        <is>
          <t>Neraca</t>
        </is>
      </c>
      <c r="C2" s="31" t="inlineStr">
        <is>
          <t>Aktiva</t>
        </is>
      </c>
      <c r="D2" s="31" t="inlineStr">
        <is>
          <t>asset_receivable</t>
        </is>
      </c>
      <c r="E2" s="31">
        <f>CONCATENATE(B2," - ",C2)</f>
        <v/>
      </c>
      <c r="F2" s="31">
        <f>CONCATENATE(B2," - ",C2," - ", A2)</f>
        <v/>
      </c>
    </row>
    <row r="3">
      <c r="A3" s="31" t="inlineStr">
        <is>
          <t>Bank dan Tunai</t>
        </is>
      </c>
      <c r="B3" s="31" t="inlineStr">
        <is>
          <t>Neraca</t>
        </is>
      </c>
      <c r="C3" s="31" t="inlineStr">
        <is>
          <t>Aktiva</t>
        </is>
      </c>
      <c r="D3" s="31" t="inlineStr">
        <is>
          <t>asset_cash</t>
        </is>
      </c>
      <c r="E3" s="31">
        <f>CONCATENATE(B3," - ",C3)</f>
        <v/>
      </c>
      <c r="F3" s="31">
        <f>CONCATENATE(B3," - ",C3," - ", A3)</f>
        <v/>
      </c>
    </row>
    <row r="4">
      <c r="A4" s="31" t="inlineStr">
        <is>
          <t>Aktiva Lancar</t>
        </is>
      </c>
      <c r="B4" s="31" t="inlineStr">
        <is>
          <t>Neraca</t>
        </is>
      </c>
      <c r="C4" s="31" t="inlineStr">
        <is>
          <t>Aktiva</t>
        </is>
      </c>
      <c r="D4" s="31" t="inlineStr">
        <is>
          <t>asset_current</t>
        </is>
      </c>
      <c r="E4" s="31">
        <f>CONCATENATE(B4," - ",C4)</f>
        <v/>
      </c>
      <c r="F4" s="31">
        <f>CONCATENATE(B4," - ",C4," - ", A4)</f>
        <v/>
      </c>
    </row>
    <row r="5">
      <c r="A5" s="31" t="inlineStr">
        <is>
          <t>Aktiva Tidak Lancar</t>
        </is>
      </c>
      <c r="B5" s="31" t="inlineStr">
        <is>
          <t>Neraca</t>
        </is>
      </c>
      <c r="C5" s="31" t="inlineStr">
        <is>
          <t>Aktiva</t>
        </is>
      </c>
      <c r="D5" s="31" t="inlineStr">
        <is>
          <t>asset_non_current</t>
        </is>
      </c>
      <c r="E5" s="31">
        <f>CONCATENATE(B5," - ",C5)</f>
        <v/>
      </c>
      <c r="F5" s="31">
        <f>CONCATENATE(B5," - ",C5," - ", A5)</f>
        <v/>
      </c>
    </row>
    <row r="6">
      <c r="A6" s="31" t="inlineStr">
        <is>
          <t>Prabayar</t>
        </is>
      </c>
      <c r="B6" s="31" t="inlineStr">
        <is>
          <t>Neraca</t>
        </is>
      </c>
      <c r="C6" s="31" t="inlineStr">
        <is>
          <t>Aktiva</t>
        </is>
      </c>
      <c r="D6" s="31" t="inlineStr">
        <is>
          <t>asset_prepayments</t>
        </is>
      </c>
      <c r="E6" s="31">
        <f>CONCATENATE(B6," - ",C6)</f>
        <v/>
      </c>
      <c r="F6" s="31">
        <f>CONCATENATE(B6," - ",C6," - ", A6)</f>
        <v/>
      </c>
    </row>
    <row r="7">
      <c r="A7" s="31" t="inlineStr">
        <is>
          <t>Aktiva Tetap</t>
        </is>
      </c>
      <c r="B7" s="31" t="inlineStr">
        <is>
          <t>Neraca</t>
        </is>
      </c>
      <c r="C7" s="31" t="inlineStr">
        <is>
          <t>Aktiva</t>
        </is>
      </c>
      <c r="D7" s="31" t="inlineStr">
        <is>
          <t>asset_fixed</t>
        </is>
      </c>
      <c r="E7" s="31">
        <f>CONCATENATE(B7," - ",C7)</f>
        <v/>
      </c>
      <c r="F7" s="31">
        <f>CONCATENATE(B7," - ",C7," - ", A7)</f>
        <v/>
      </c>
    </row>
    <row r="8">
      <c r="A8" s="31" t="inlineStr">
        <is>
          <t>Utang</t>
        </is>
      </c>
      <c r="B8" s="31" t="inlineStr">
        <is>
          <t>Neraca</t>
        </is>
      </c>
      <c r="C8" s="31" t="inlineStr">
        <is>
          <t>Liabilitas</t>
        </is>
      </c>
      <c r="D8" s="31" t="inlineStr">
        <is>
          <t>liability_payable</t>
        </is>
      </c>
      <c r="E8" s="31">
        <f>CONCATENATE(B8," - ",C8)</f>
        <v/>
      </c>
      <c r="F8" s="31">
        <f>CONCATENATE(B8," - ",C8," - ", A8)</f>
        <v/>
      </c>
    </row>
    <row r="9">
      <c r="A9" s="31" t="inlineStr">
        <is>
          <t>Kartu Kredit</t>
        </is>
      </c>
      <c r="B9" s="31" t="inlineStr">
        <is>
          <t>Neraca</t>
        </is>
      </c>
      <c r="C9" s="31" t="inlineStr">
        <is>
          <t>Liabilitas</t>
        </is>
      </c>
      <c r="D9" s="31" t="inlineStr">
        <is>
          <t>liability_credit_card</t>
        </is>
      </c>
      <c r="E9" s="31">
        <f>CONCATENATE(B9," - ",C9)</f>
        <v/>
      </c>
      <c r="F9" s="31">
        <f>CONCATENATE(B9," - ",C9," - ", A9)</f>
        <v/>
      </c>
    </row>
    <row r="10">
      <c r="A10" s="31" t="inlineStr">
        <is>
          <t>Pasiva Terkini</t>
        </is>
      </c>
      <c r="B10" s="31" t="inlineStr">
        <is>
          <t>Neraca</t>
        </is>
      </c>
      <c r="C10" s="31" t="inlineStr">
        <is>
          <t>Liabilitas</t>
        </is>
      </c>
      <c r="D10" s="31" t="inlineStr">
        <is>
          <t>liability_current</t>
        </is>
      </c>
      <c r="E10" s="31">
        <f>CONCATENATE(B10," - ",C10)</f>
        <v/>
      </c>
      <c r="F10" s="31">
        <f>CONCATENATE(B10," - ",C10," - ", A10)</f>
        <v/>
      </c>
    </row>
    <row r="11">
      <c r="A11" s="31" t="inlineStr">
        <is>
          <t>Hutang Tidak Lancar</t>
        </is>
      </c>
      <c r="B11" s="31" t="inlineStr">
        <is>
          <t>Neraca</t>
        </is>
      </c>
      <c r="C11" s="31" t="inlineStr">
        <is>
          <t>Liabilitas</t>
        </is>
      </c>
      <c r="D11" s="31" t="inlineStr">
        <is>
          <t>liability_non_current</t>
        </is>
      </c>
      <c r="E11" s="31">
        <f>CONCATENATE(B11," - ",C11)</f>
        <v/>
      </c>
      <c r="F11" s="31">
        <f>CONCATENATE(B11," - ",C11," - ", A11)</f>
        <v/>
      </c>
    </row>
    <row r="12">
      <c r="A12" s="31" t="inlineStr">
        <is>
          <t>Ekuitas</t>
        </is>
      </c>
      <c r="B12" s="31" t="inlineStr">
        <is>
          <t>Neraca</t>
        </is>
      </c>
      <c r="C12" s="31" t="inlineStr">
        <is>
          <t>Ekuitas</t>
        </is>
      </c>
      <c r="D12" s="31" t="inlineStr">
        <is>
          <t>equity</t>
        </is>
      </c>
      <c r="E12" s="31">
        <f>CONCATENATE(B12," - ",C12)</f>
        <v/>
      </c>
      <c r="F12" s="31">
        <f>CONCATENATE(B12," - ",C12," - ", A12)</f>
        <v/>
      </c>
    </row>
    <row r="13">
      <c r="A13" s="31" t="inlineStr">
        <is>
          <t>Penghasilan Tahun Terkini</t>
        </is>
      </c>
      <c r="B13" s="31" t="inlineStr">
        <is>
          <t>Neraca</t>
        </is>
      </c>
      <c r="C13" s="31" t="inlineStr">
        <is>
          <t>Ekuitas</t>
        </is>
      </c>
      <c r="D13" s="31" t="inlineStr">
        <is>
          <t>equity_unaffected</t>
        </is>
      </c>
      <c r="E13" s="31">
        <f>CONCATENATE(B13," - ",C13)</f>
        <v/>
      </c>
      <c r="F13" s="31">
        <f>CONCATENATE(B13," - ",C13," - ", A13)</f>
        <v/>
      </c>
    </row>
    <row r="14">
      <c r="A14" s="31" t="inlineStr">
        <is>
          <t>Penghasilan</t>
        </is>
      </c>
      <c r="B14" s="31" t="inlineStr">
        <is>
          <t>P&amp;L</t>
        </is>
      </c>
      <c r="C14" s="31" t="inlineStr">
        <is>
          <t>Penghasilan</t>
        </is>
      </c>
      <c r="D14" s="31" t="inlineStr">
        <is>
          <t>income</t>
        </is>
      </c>
      <c r="E14" s="31">
        <f>CONCATENATE(B14," - ",C14)</f>
        <v/>
      </c>
      <c r="F14" s="31">
        <f>CONCATENATE(B14," - ",C14," - ", A14)</f>
        <v/>
      </c>
    </row>
    <row r="15">
      <c r="A15" s="31" t="inlineStr">
        <is>
          <t>Penghasilan Lainnya</t>
        </is>
      </c>
      <c r="B15" s="31" t="inlineStr">
        <is>
          <t>P&amp;L</t>
        </is>
      </c>
      <c r="C15" s="31" t="inlineStr">
        <is>
          <t>Penghasilan</t>
        </is>
      </c>
      <c r="D15" s="31" t="inlineStr">
        <is>
          <t>income_other</t>
        </is>
      </c>
      <c r="E15" s="31">
        <f>CONCATENATE(B15," - ",C15)</f>
        <v/>
      </c>
      <c r="F15" s="31">
        <f>CONCATENATE(B15," - ",C15," - ", A15)</f>
        <v/>
      </c>
    </row>
    <row r="16">
      <c r="A16" s="31" t="inlineStr">
        <is>
          <t>Pengeluaran</t>
        </is>
      </c>
      <c r="B16" s="31" t="inlineStr">
        <is>
          <t>P&amp;L</t>
        </is>
      </c>
      <c r="C16" s="31" t="inlineStr">
        <is>
          <t>Pengeluaran</t>
        </is>
      </c>
      <c r="D16" s="31" t="inlineStr">
        <is>
          <t>expense</t>
        </is>
      </c>
      <c r="E16" s="31">
        <f>CONCATENATE(B16," - ",C16)</f>
        <v/>
      </c>
      <c r="F16" s="31">
        <f>CONCATENATE(B16," - ",C16," - ", A16)</f>
        <v/>
      </c>
    </row>
    <row r="17">
      <c r="A17" s="31" t="inlineStr">
        <is>
          <t>Pengeluaran Lainnya</t>
        </is>
      </c>
      <c r="B17" s="31" t="inlineStr">
        <is>
          <t>P&amp;L</t>
        </is>
      </c>
      <c r="C17" s="31" t="inlineStr">
        <is>
          <t>Pengeluaran</t>
        </is>
      </c>
      <c r="D17" s="31" t="inlineStr">
        <is>
          <t>expense_other</t>
        </is>
      </c>
      <c r="E17" s="31">
        <f>CONCATENATE(B17," - ",C17)</f>
        <v/>
      </c>
      <c r="F17" s="31">
        <f>CONCATENATE(B17," - ",C17," - ", A17)</f>
        <v/>
      </c>
    </row>
    <row r="18">
      <c r="A18" s="31" t="inlineStr">
        <is>
          <t>Penyusutan</t>
        </is>
      </c>
      <c r="B18" s="31" t="inlineStr">
        <is>
          <t>P&amp;L</t>
        </is>
      </c>
      <c r="C18" s="31" t="inlineStr">
        <is>
          <t>Pengeluaran</t>
        </is>
      </c>
      <c r="D18" s="31" t="inlineStr">
        <is>
          <t>expense_depreciation</t>
        </is>
      </c>
      <c r="E18" s="31">
        <f>CONCATENATE(B18," - ",C18)</f>
        <v/>
      </c>
      <c r="F18" s="31">
        <f>CONCATENATE(B18," - ",C18," - ", A18)</f>
        <v/>
      </c>
    </row>
    <row r="19">
      <c r="A19" s="31" t="inlineStr">
        <is>
          <t>Biaya Pendapatan</t>
        </is>
      </c>
      <c r="B19" s="31" t="inlineStr">
        <is>
          <t>P&amp;L</t>
        </is>
      </c>
      <c r="C19" s="31" t="inlineStr">
        <is>
          <t>Pengeluaran</t>
        </is>
      </c>
      <c r="D19" s="31" t="inlineStr">
        <is>
          <t>expense_direct_cost</t>
        </is>
      </c>
      <c r="E19" s="31">
        <f>CONCATENATE(B19," - ",C19)</f>
        <v/>
      </c>
      <c r="F19" s="31">
        <f>CONCATENATE(B19," - ",C19," - ", A19)</f>
        <v/>
      </c>
    </row>
    <row r="20">
      <c r="A20" s="31" t="inlineStr">
        <is>
          <t>Off-Balance Sheet</t>
        </is>
      </c>
      <c r="B20" s="31" t="inlineStr">
        <is>
          <t>P&amp;L</t>
        </is>
      </c>
      <c r="C20" s="31" t="inlineStr">
        <is>
          <t>Lainnya</t>
        </is>
      </c>
      <c r="D20" s="31" t="inlineStr">
        <is>
          <t>off_balance</t>
        </is>
      </c>
      <c r="E20" s="31">
        <f>CONCATENATE(B20," - ",C20)</f>
        <v/>
      </c>
      <c r="F20" s="31">
        <f>CONCATENATE(B20," - ",C20," - ", A20)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E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7.38" customWidth="1" style="38" min="1" max="1"/>
    <col width="11.38" customWidth="1" style="38" min="2" max="2"/>
    <col width="10.38" customWidth="1" style="38" min="3" max="3"/>
    <col width="17.13" customWidth="1" style="38" min="4" max="4"/>
    <col width="20.38" customWidth="1" style="38" min="5" max="5"/>
  </cols>
  <sheetData>
    <row r="1">
      <c r="A1" s="22" t="inlineStr">
        <is>
          <t>id</t>
        </is>
      </c>
      <c r="B1" s="22" t="inlineStr">
        <is>
          <t>sequence</t>
        </is>
      </c>
      <c r="C1" s="22" t="inlineStr">
        <is>
          <t>field_id</t>
        </is>
      </c>
      <c r="D1" s="22" t="inlineStr">
        <is>
          <t>value</t>
        </is>
      </c>
      <c r="E1" s="22" t="inlineStr">
        <is>
          <t>name</t>
        </is>
      </c>
    </row>
    <row r="2">
      <c r="A2" s="31" t="inlineStr">
        <is>
          <t>account.selection__account_account__account_type__asset_receivable</t>
        </is>
      </c>
      <c r="B2" s="31" t="n">
        <v>0</v>
      </c>
      <c r="C2" s="31" t="inlineStr">
        <is>
          <t>Jenis (Akun)</t>
        </is>
      </c>
      <c r="D2" s="31" t="inlineStr">
        <is>
          <t>asset_receivable</t>
        </is>
      </c>
      <c r="E2" s="31" t="inlineStr">
        <is>
          <t>Piutang</t>
        </is>
      </c>
    </row>
    <row r="3">
      <c r="A3" s="31" t="inlineStr">
        <is>
          <t>account.selection__account_account__account_type__asset_cash</t>
        </is>
      </c>
      <c r="B3" s="31" t="n">
        <v>1</v>
      </c>
      <c r="C3" s="31" t="inlineStr">
        <is>
          <t>Jenis (Akun)</t>
        </is>
      </c>
      <c r="D3" s="31" t="inlineStr">
        <is>
          <t>asset_cash</t>
        </is>
      </c>
      <c r="E3" s="31" t="inlineStr">
        <is>
          <t>Bank dan Tunai</t>
        </is>
      </c>
    </row>
    <row r="4">
      <c r="A4" s="31" t="inlineStr">
        <is>
          <t>account.selection__account_account__account_type__asset_current</t>
        </is>
      </c>
      <c r="B4" s="31" t="n">
        <v>2</v>
      </c>
      <c r="C4" s="31" t="inlineStr">
        <is>
          <t>Jenis (Akun)</t>
        </is>
      </c>
      <c r="D4" s="31" t="inlineStr">
        <is>
          <t>asset_current</t>
        </is>
      </c>
      <c r="E4" s="31" t="inlineStr">
        <is>
          <t>Aktiva Lancar</t>
        </is>
      </c>
    </row>
    <row r="5">
      <c r="A5" s="31" t="inlineStr">
        <is>
          <t>account.selection__account_account__account_type__asset_non_current</t>
        </is>
      </c>
      <c r="B5" s="31" t="n">
        <v>3</v>
      </c>
      <c r="C5" s="31" t="inlineStr">
        <is>
          <t>Jenis (Akun)</t>
        </is>
      </c>
      <c r="D5" s="31" t="inlineStr">
        <is>
          <t>asset_non_current</t>
        </is>
      </c>
      <c r="E5" s="31" t="inlineStr">
        <is>
          <t>Aktiva Tidak Lancar</t>
        </is>
      </c>
    </row>
    <row r="6">
      <c r="A6" s="31" t="inlineStr">
        <is>
          <t>account.selection__account_account__account_type__asset_prepayments</t>
        </is>
      </c>
      <c r="B6" s="31" t="n">
        <v>4</v>
      </c>
      <c r="C6" s="31" t="inlineStr">
        <is>
          <t>Jenis (Akun)</t>
        </is>
      </c>
      <c r="D6" s="31" t="inlineStr">
        <is>
          <t>asset_prepayments</t>
        </is>
      </c>
      <c r="E6" s="31" t="inlineStr">
        <is>
          <t>Prabayar</t>
        </is>
      </c>
    </row>
    <row r="7">
      <c r="A7" s="31" t="inlineStr">
        <is>
          <t>account.selection__account_account__account_type__asset_fixed</t>
        </is>
      </c>
      <c r="B7" s="31" t="n">
        <v>5</v>
      </c>
      <c r="C7" s="31" t="inlineStr">
        <is>
          <t>Jenis (Akun)</t>
        </is>
      </c>
      <c r="D7" s="31" t="inlineStr">
        <is>
          <t>asset_fixed</t>
        </is>
      </c>
      <c r="E7" s="31" t="inlineStr">
        <is>
          <t>Aktiva Tetap</t>
        </is>
      </c>
    </row>
    <row r="8">
      <c r="A8" s="31" t="inlineStr">
        <is>
          <t>account.selection__account_account__account_type__liability_payable</t>
        </is>
      </c>
      <c r="B8" s="31" t="n">
        <v>6</v>
      </c>
      <c r="C8" s="31" t="inlineStr">
        <is>
          <t>Jenis (Akun)</t>
        </is>
      </c>
      <c r="D8" s="31" t="inlineStr">
        <is>
          <t>liability_payable</t>
        </is>
      </c>
      <c r="E8" s="31" t="inlineStr">
        <is>
          <t>Utang</t>
        </is>
      </c>
    </row>
    <row r="9">
      <c r="A9" s="31" t="inlineStr">
        <is>
          <t>account.selection__account_account__account_type__liability_credit_card</t>
        </is>
      </c>
      <c r="B9" s="31" t="n">
        <v>7</v>
      </c>
      <c r="C9" s="31" t="inlineStr">
        <is>
          <t>Jenis (Akun)</t>
        </is>
      </c>
      <c r="D9" s="31" t="inlineStr">
        <is>
          <t>liability_credit_card</t>
        </is>
      </c>
      <c r="E9" s="31" t="inlineStr">
        <is>
          <t>Kartu Kredit</t>
        </is>
      </c>
    </row>
    <row r="10">
      <c r="A10" s="31" t="inlineStr">
        <is>
          <t>account.selection__account_account__account_type__liability_current</t>
        </is>
      </c>
      <c r="B10" s="31" t="n">
        <v>8</v>
      </c>
      <c r="C10" s="31" t="inlineStr">
        <is>
          <t>Jenis (Akun)</t>
        </is>
      </c>
      <c r="D10" s="31" t="inlineStr">
        <is>
          <t>liability_current</t>
        </is>
      </c>
      <c r="E10" s="31" t="inlineStr">
        <is>
          <t>Pasiva Terkini</t>
        </is>
      </c>
    </row>
    <row r="11">
      <c r="A11" s="31" t="inlineStr">
        <is>
          <t>account.selection__account_account__account_type__liability_non_current</t>
        </is>
      </c>
      <c r="B11" s="31" t="n">
        <v>9</v>
      </c>
      <c r="C11" s="31" t="inlineStr">
        <is>
          <t>Jenis (Akun)</t>
        </is>
      </c>
      <c r="D11" s="31" t="inlineStr">
        <is>
          <t>liability_non_current</t>
        </is>
      </c>
      <c r="E11" s="31" t="inlineStr">
        <is>
          <t>Hutang Tidak Lancar</t>
        </is>
      </c>
    </row>
    <row r="12">
      <c r="A12" s="31" t="inlineStr">
        <is>
          <t>account.selection__account_account__account_type__equity</t>
        </is>
      </c>
      <c r="B12" s="31" t="n">
        <v>10</v>
      </c>
      <c r="C12" s="31" t="inlineStr">
        <is>
          <t>Jenis (Akun)</t>
        </is>
      </c>
      <c r="D12" s="31" t="inlineStr">
        <is>
          <t>equity</t>
        </is>
      </c>
      <c r="E12" s="31" t="inlineStr">
        <is>
          <t>Ekuitas</t>
        </is>
      </c>
    </row>
    <row r="13">
      <c r="A13" s="31" t="inlineStr">
        <is>
          <t>account.selection__account_account__account_type__equity_unaffected</t>
        </is>
      </c>
      <c r="B13" s="31" t="n">
        <v>11</v>
      </c>
      <c r="C13" s="31" t="inlineStr">
        <is>
          <t>Jenis (Akun)</t>
        </is>
      </c>
      <c r="D13" s="31" t="inlineStr">
        <is>
          <t>equity_unaffected</t>
        </is>
      </c>
      <c r="E13" s="31" t="inlineStr">
        <is>
          <t>Penghasilan Tahun Terkini</t>
        </is>
      </c>
    </row>
    <row r="14">
      <c r="A14" s="31" t="inlineStr">
        <is>
          <t>account.selection__account_account__account_type__income</t>
        </is>
      </c>
      <c r="B14" s="31" t="n">
        <v>12</v>
      </c>
      <c r="C14" s="31" t="inlineStr">
        <is>
          <t>Jenis (Akun)</t>
        </is>
      </c>
      <c r="D14" s="31" t="inlineStr">
        <is>
          <t>income</t>
        </is>
      </c>
      <c r="E14" s="31" t="inlineStr">
        <is>
          <t>Penghasilan</t>
        </is>
      </c>
    </row>
    <row r="15">
      <c r="A15" s="31" t="inlineStr">
        <is>
          <t>account.selection__account_account__account_type__income_other</t>
        </is>
      </c>
      <c r="B15" s="31" t="n">
        <v>13</v>
      </c>
      <c r="C15" s="31" t="inlineStr">
        <is>
          <t>Jenis (Akun)</t>
        </is>
      </c>
      <c r="D15" s="31" t="inlineStr">
        <is>
          <t>income_other</t>
        </is>
      </c>
      <c r="E15" s="31" t="inlineStr">
        <is>
          <t>Penghasilan Lainnya</t>
        </is>
      </c>
    </row>
    <row r="16">
      <c r="A16" s="31" t="inlineStr">
        <is>
          <t>account.selection__account_account__account_type__expense</t>
        </is>
      </c>
      <c r="B16" s="31" t="n">
        <v>14</v>
      </c>
      <c r="C16" s="31" t="inlineStr">
        <is>
          <t>Jenis (Akun)</t>
        </is>
      </c>
      <c r="D16" s="31" t="inlineStr">
        <is>
          <t>expense</t>
        </is>
      </c>
      <c r="E16" s="31" t="inlineStr">
        <is>
          <t>Pengeluaran</t>
        </is>
      </c>
    </row>
    <row r="17">
      <c r="A17" s="31" t="inlineStr">
        <is>
          <t>account.selection__account_account__account_type__expense_other</t>
        </is>
      </c>
      <c r="B17" s="31" t="n">
        <v>15</v>
      </c>
      <c r="C17" s="31" t="inlineStr">
        <is>
          <t>Jenis (Akun)</t>
        </is>
      </c>
      <c r="D17" s="31" t="inlineStr">
        <is>
          <t>expense_other</t>
        </is>
      </c>
      <c r="E17" s="31" t="inlineStr">
        <is>
          <t>Pengeluaran Lainnya</t>
        </is>
      </c>
    </row>
    <row r="18">
      <c r="A18" s="31" t="inlineStr">
        <is>
          <t>account.selection__account_account__account_type__expense_depreciation</t>
        </is>
      </c>
      <c r="B18" s="31" t="n">
        <v>16</v>
      </c>
      <c r="C18" s="31" t="inlineStr">
        <is>
          <t>Jenis (Akun)</t>
        </is>
      </c>
      <c r="D18" s="31" t="inlineStr">
        <is>
          <t>expense_depreciation</t>
        </is>
      </c>
      <c r="E18" s="31" t="inlineStr">
        <is>
          <t>Penyusutan</t>
        </is>
      </c>
    </row>
    <row r="19">
      <c r="A19" s="31" t="inlineStr">
        <is>
          <t>account.selection__account_account__account_type__expense_direct_cost</t>
        </is>
      </c>
      <c r="B19" s="31" t="n">
        <v>17</v>
      </c>
      <c r="C19" s="31" t="inlineStr">
        <is>
          <t>Jenis (Akun)</t>
        </is>
      </c>
      <c r="D19" s="31" t="inlineStr">
        <is>
          <t>expense_direct_cost</t>
        </is>
      </c>
      <c r="E19" s="31" t="inlineStr">
        <is>
          <t>Biaya Pendapatan</t>
        </is>
      </c>
    </row>
    <row r="20">
      <c r="A20" s="31" t="inlineStr">
        <is>
          <t>account.selection__account_account__account_type__off_balance</t>
        </is>
      </c>
      <c r="B20" s="31" t="n">
        <v>18</v>
      </c>
      <c r="C20" s="31" t="inlineStr">
        <is>
          <t>Jenis (Akun)</t>
        </is>
      </c>
      <c r="D20" s="31" t="inlineStr">
        <is>
          <t>off_balance</t>
        </is>
      </c>
      <c r="E20" s="31" t="inlineStr">
        <is>
          <t>Off-Balance Sheet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2026-08-24T04:57:54Z</dcterms:created>
  <dcterms:modified xmlns:dcterms="http://purl.org/dc/terms/" xmlns:xsi="http://www.w3.org/2001/XMLSchema-instance" xsi:type="dcterms:W3CDTF">2026-08-24T06:56:33+00:00Z</dcterms:modified>
</cp:coreProperties>
</file>