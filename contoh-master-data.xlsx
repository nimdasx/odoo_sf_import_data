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tunjuk" sheetId="1" r:id="rId5"/>
    <sheet state="visible" name="company" sheetId="2" r:id="rId6"/>
    <sheet state="visible" name="res.partner" sheetId="3" r:id="rId7"/>
    <sheet state="visible" name="account.account" sheetId="4" r:id="rId8"/>
    <sheet state="visible" name="account.journal" sheetId="5" r:id="rId9"/>
    <sheet state="visible" name="kas_bank" sheetId="6" r:id="rId10"/>
    <sheet state="visible" name="vendor_bill" sheetId="7" r:id="rId11"/>
    <sheet state="visible" name="customer_invoice" sheetId="8" r:id="rId12"/>
    <sheet state="visible" name="account.asset" sheetId="9" r:id="rId13"/>
    <sheet state="visible" name="account.asset.model" sheetId="10" r:id="rId14"/>
    <sheet state="visible" name="res.country.state" sheetId="11" r:id="rId15"/>
    <sheet state="visible" name="account.account.account_type" sheetId="12" r:id="rId16"/>
    <sheet state="visible" name="ir.model.fields.selection" sheetId="13" r:id="rId17"/>
  </sheets>
  <definedNames/>
  <calcPr/>
</workbook>
</file>

<file path=xl/sharedStrings.xml><?xml version="1.0" encoding="utf-8"?>
<sst xmlns="http://schemas.openxmlformats.org/spreadsheetml/2006/main" count="1039" uniqueCount="695">
  <si>
    <t>OPENING_FISCAL_YEAR_START</t>
  </si>
  <si>
    <t>OPENING_BALANCE_DATE</t>
  </si>
  <si>
    <t>name</t>
  </si>
  <si>
    <t>SMA UII Yogyakarta</t>
  </si>
  <si>
    <t>street</t>
  </si>
  <si>
    <t>Jl. Taman Siswa No.158</t>
  </si>
  <si>
    <t>street2</t>
  </si>
  <si>
    <t>Wirogunan, Mergangsan</t>
  </si>
  <si>
    <t>city</t>
  </si>
  <si>
    <t>Yogyakarta</t>
  </si>
  <si>
    <t>state</t>
  </si>
  <si>
    <t>zip</t>
  </si>
  <si>
    <t>country</t>
  </si>
  <si>
    <t>Indonesia</t>
  </si>
  <si>
    <t>phone</t>
  </si>
  <si>
    <t>0274 3900192</t>
  </si>
  <si>
    <t>email</t>
  </si>
  <si>
    <t>info@smauiiyk.sch.id</t>
  </si>
  <si>
    <t>website</t>
  </si>
  <si>
    <t>https://www.smauiiyk.sch.id</t>
  </si>
  <si>
    <t>sheet</t>
  </si>
  <si>
    <t>logo</t>
  </si>
  <si>
    <t>https://smauiiyk.sch.id/wp-content/uploads/2025/06/BARU-scaled.png</t>
  </si>
  <si>
    <t>keterangan</t>
  </si>
  <si>
    <t>account.account</t>
  </si>
  <si>
    <t>external_report_layout</t>
  </si>
  <si>
    <t>web.external_layout_folder</t>
  </si>
  <si>
    <t>report_footer</t>
  </si>
  <si>
    <t>Whatsapp : 0811 158 153, Email : info@smauiiyk.sch.id</t>
  </si>
  <si>
    <t>ini untuk coa dan opening balance
kolom id isinya jangan diganti
kolom code dan name boleh diedit
kolom account_type boleh diganti dari daftar pilihan yang ada, tidak boleh membuat account_type baru
kolom code_name jangan diedit
boleh menambahkan account baru
account yang sudah ada jika tidak dipakai mohon jangan dihapus, tapi lakukan uncheck di kolom active</t>
  </si>
  <si>
    <t>account.asset</t>
  </si>
  <si>
    <t>untuk aset</t>
  </si>
  <si>
    <t>res.partner</t>
  </si>
  <si>
    <t>untuk list customer/vendor</t>
  </si>
  <si>
    <t>customer.invoice</t>
  </si>
  <si>
    <t>untuk opening balance piutang dari customer</t>
  </si>
  <si>
    <t>vendor.bill</t>
  </si>
  <si>
    <t>untuk opening balance hutang ke vendor</t>
  </si>
  <si>
    <t>account.journal</t>
  </si>
  <si>
    <t>id</t>
  </si>
  <si>
    <t>untuk klasifikasi journal, di skip dulu saja</t>
  </si>
  <si>
    <t>res.country.state</t>
  </si>
  <si>
    <t>abaikan, hanya untuk referensi</t>
  </si>
  <si>
    <t>account.account.account_type</t>
  </si>
  <si>
    <t>ir.model.fields.selection</t>
  </si>
  <si>
    <t>urutan</t>
  </si>
  <si>
    <t>is_company</t>
  </si>
  <si>
    <t>code</t>
  </si>
  <si>
    <t>mohon langsung diisikan di google sheet ini, tidak di download</t>
  </si>
  <si>
    <t>hanya diisikan untuk kolom yang berwarna biru</t>
  </si>
  <si>
    <t>ref</t>
  </si>
  <si>
    <t>country_id</t>
  </si>
  <si>
    <t>account_type</t>
  </si>
  <si>
    <t>opening_debit</t>
  </si>
  <si>
    <t>res_partner_00001</t>
  </si>
  <si>
    <t>opening_credit</t>
  </si>
  <si>
    <t>Slamet Wismadi</t>
  </si>
  <si>
    <t>slamet@gpu.co.id</t>
  </si>
  <si>
    <t>account_type_level_2</t>
  </si>
  <si>
    <t>account_type_level_3</t>
  </si>
  <si>
    <t>Jl Perjuangan Nomor 1</t>
  </si>
  <si>
    <t>Bantul</t>
  </si>
  <si>
    <t>code_name</t>
  </si>
  <si>
    <t>original</t>
  </si>
  <si>
    <t>active</t>
  </si>
  <si>
    <t>original_name</t>
  </si>
  <si>
    <t>description</t>
  </si>
  <si>
    <t>account.1_l10n_id_11110001</t>
  </si>
  <si>
    <t>11110001</t>
  </si>
  <si>
    <t>Kas</t>
  </si>
  <si>
    <t>Bank dan Tunai</t>
  </si>
  <si>
    <t>sequence</t>
  </si>
  <si>
    <t>type</t>
  </si>
  <si>
    <t>default_account_id</t>
  </si>
  <si>
    <t>Bank Feed</t>
  </si>
  <si>
    <t>account.1_bank</t>
  </si>
  <si>
    <t>Bank</t>
  </si>
  <si>
    <t>Reference</t>
  </si>
  <si>
    <t>BNK1</t>
  </si>
  <si>
    <t>11120001 Bank</t>
  </si>
  <si>
    <t>date</t>
  </si>
  <si>
    <t>file_import</t>
  </si>
  <si>
    <t>journal</t>
  </si>
  <si>
    <t>line_ids/account</t>
  </si>
  <si>
    <t>line_ids/debit</t>
  </si>
  <si>
    <t>line_ids/credit</t>
  </si>
  <si>
    <t>line_ids/name</t>
  </si>
  <si>
    <t>account_move_opening_bank</t>
  </si>
  <si>
    <t>Opening Bank</t>
  </si>
  <si>
    <t>account.1_cash</t>
  </si>
  <si>
    <t>CSH1</t>
  </si>
  <si>
    <t>11110001 Kas</t>
  </si>
  <si>
    <t>saldo awal bank</t>
  </si>
  <si>
    <t>account_journal_aset</t>
  </si>
  <si>
    <t>Aset Tetap</t>
  </si>
  <si>
    <t>account_move_opening_kas</t>
  </si>
  <si>
    <t>Lain-lain</t>
  </si>
  <si>
    <t>Opening Kas</t>
  </si>
  <si>
    <t>ASET</t>
  </si>
  <si>
    <t>saldo awal kas</t>
  </si>
  <si>
    <t>account.1_l10n_id_11110010</t>
  </si>
  <si>
    <t>11110010</t>
  </si>
  <si>
    <t>Kas Kecil</t>
  </si>
  <si>
    <t>line_ids/partner</t>
  </si>
  <si>
    <t>line_ids/date_maturity</t>
  </si>
  <si>
    <t>account_move_opening_vendors</t>
  </si>
  <si>
    <t>Opening vendors</t>
  </si>
  <si>
    <t>Miscellaneous Operations</t>
  </si>
  <si>
    <t>21100010 Hutang Usaha</t>
  </si>
  <si>
    <t>V00001</t>
  </si>
  <si>
    <t>account_move_opening_customers</t>
  </si>
  <si>
    <t>Opening customers</t>
  </si>
  <si>
    <t>VENDOR 1</t>
  </si>
  <si>
    <t>11210010 Piutang Usaha</t>
  </si>
  <si>
    <t>C00001</t>
  </si>
  <si>
    <t>CUSTOMER 1</t>
  </si>
  <si>
    <t>V00002</t>
  </si>
  <si>
    <t>VENDOR 2</t>
  </si>
  <si>
    <t>account.1_l10n_id_11120001</t>
  </si>
  <si>
    <t>11120001</t>
  </si>
  <si>
    <t>C00002</t>
  </si>
  <si>
    <t>CUSTOMER 2</t>
  </si>
  <si>
    <t>V00003</t>
  </si>
  <si>
    <t>VENDOR 3</t>
  </si>
  <si>
    <t>V00004</t>
  </si>
  <si>
    <t>VENDOR 4</t>
  </si>
  <si>
    <t>C00003</t>
  </si>
  <si>
    <t>CUSTOMER 3</t>
  </si>
  <si>
    <t>acquisition_date</t>
  </si>
  <si>
    <t>99999900 Laba/Rugi Belum Dialokasikan</t>
  </si>
  <si>
    <t>original_value</t>
  </si>
  <si>
    <t>V00005</t>
  </si>
  <si>
    <t>VENDOR 5</t>
  </si>
  <si>
    <t>account_asset_id</t>
  </si>
  <si>
    <t>account_depreciation_id</t>
  </si>
  <si>
    <t>account_depreciation_expense_id</t>
  </si>
  <si>
    <t>method_number</t>
  </si>
  <si>
    <t>method_period</t>
  </si>
  <si>
    <t>method</t>
  </si>
  <si>
    <t>Jurnal</t>
  </si>
  <si>
    <t>account_asset_00001</t>
  </si>
  <si>
    <t>Laptop iBook</t>
  </si>
  <si>
    <t>12210030 Peralatan Kantor</t>
  </si>
  <si>
    <t>12281030 Akumulasi Penyusutan Peralatan Kantor</t>
  </si>
  <si>
    <t>67100030 Peralatan Kantor</t>
  </si>
  <si>
    <t>Bulan</t>
  </si>
  <si>
    <t>account.1_account_journal_suspense_account_id</t>
  </si>
  <si>
    <t>Garis Lurus</t>
  </si>
  <si>
    <t>11120002</t>
  </si>
  <si>
    <t>Akun Penangguhan Bank</t>
  </si>
  <si>
    <t>Aktiva Lancar</t>
  </si>
  <si>
    <t>account_asset_00002</t>
  </si>
  <si>
    <t>Laptop X</t>
  </si>
  <si>
    <t>base.state_id_ac</t>
  </si>
  <si>
    <t>Aceh</t>
  </si>
  <si>
    <t>AC</t>
  </si>
  <si>
    <t>account_asset_model_001</t>
  </si>
  <si>
    <t>base.state_id_ba</t>
  </si>
  <si>
    <t>Bangunan Kantor</t>
  </si>
  <si>
    <t>Bali</t>
  </si>
  <si>
    <t>12210010 Bangunan Kantor</t>
  </si>
  <si>
    <t>BA</t>
  </si>
  <si>
    <t>12281010 Akumulasi Penyusutan Bangunan Kantor</t>
  </si>
  <si>
    <t>base.state_id_bb</t>
  </si>
  <si>
    <t>67100010 Bangunan Kantor</t>
  </si>
  <si>
    <t>Bangka Belitung</t>
  </si>
  <si>
    <t>BB</t>
  </si>
  <si>
    <t>base.state_id_be</t>
  </si>
  <si>
    <t>Bengkulu</t>
  </si>
  <si>
    <t>BE</t>
  </si>
  <si>
    <t>base.state_id_bt</t>
  </si>
  <si>
    <t>Banten</t>
  </si>
  <si>
    <t>BT</t>
  </si>
  <si>
    <t>base.state_id_go</t>
  </si>
  <si>
    <t>Gorontalo</t>
  </si>
  <si>
    <t>GO</t>
  </si>
  <si>
    <t>base.state_id_ja</t>
  </si>
  <si>
    <t>Jambi</t>
  </si>
  <si>
    <t>JA</t>
  </si>
  <si>
    <t>account.1_account_journal_payment_debit_account_id</t>
  </si>
  <si>
    <t>base.state_id_jb</t>
  </si>
  <si>
    <t>account_asset_model_002</t>
  </si>
  <si>
    <t>Jawa Barat</t>
  </si>
  <si>
    <t>JB</t>
  </si>
  <si>
    <t>Kendaraan</t>
  </si>
  <si>
    <t>12210020 Kendaraan</t>
  </si>
  <si>
    <t>base.state_id_ji</t>
  </si>
  <si>
    <t>11120003</t>
  </si>
  <si>
    <t>Jawa Timur</t>
  </si>
  <si>
    <t>12281020 Akumulasi Penyusutan Kendaraan</t>
  </si>
  <si>
    <t>Tanda Terima Belum Lunas</t>
  </si>
  <si>
    <t>JI</t>
  </si>
  <si>
    <t>67100020 Kendaraan</t>
  </si>
  <si>
    <t>base.state_id_jk</t>
  </si>
  <si>
    <t>Jakarta</t>
  </si>
  <si>
    <t>JK</t>
  </si>
  <si>
    <t>base.state_id_jt</t>
  </si>
  <si>
    <t>Jawa Tengah</t>
  </si>
  <si>
    <t>JT</t>
  </si>
  <si>
    <t>base.state_id_kb</t>
  </si>
  <si>
    <t>Kalimantan Barat</t>
  </si>
  <si>
    <t>KB</t>
  </si>
  <si>
    <t>base.state_id_ki</t>
  </si>
  <si>
    <t>Kalimantan Timur</t>
  </si>
  <si>
    <t>KI</t>
  </si>
  <si>
    <t>base.state_id_kr</t>
  </si>
  <si>
    <t>account_asset_model_003</t>
  </si>
  <si>
    <t>Kepulauan Riau</t>
  </si>
  <si>
    <t>KR</t>
  </si>
  <si>
    <t>Peralatan Kantor</t>
  </si>
  <si>
    <t>base.state_id_ks</t>
  </si>
  <si>
    <t>Kalimantan Selatan</t>
  </si>
  <si>
    <t>KS</t>
  </si>
  <si>
    <t>base.state_id_kt</t>
  </si>
  <si>
    <t>Kalimantan Tengah</t>
  </si>
  <si>
    <t>KT</t>
  </si>
  <si>
    <t>base.state_id_ku</t>
  </si>
  <si>
    <t>Kalimantan Utara</t>
  </si>
  <si>
    <t>KU</t>
  </si>
  <si>
    <t>base.state_id_la</t>
  </si>
  <si>
    <t>Lampung</t>
  </si>
  <si>
    <t>LA</t>
  </si>
  <si>
    <t>base.state_id_ma</t>
  </si>
  <si>
    <t>Maluku</t>
  </si>
  <si>
    <t>MA</t>
  </si>
  <si>
    <t>base.state_id_mu</t>
  </si>
  <si>
    <t>Maluku Utara</t>
  </si>
  <si>
    <t>MU</t>
  </si>
  <si>
    <t>base.state_id_nb</t>
  </si>
  <si>
    <t>account.1_account_journal_payment_credit_account_id</t>
  </si>
  <si>
    <t>Nusa Tenggara Barat</t>
  </si>
  <si>
    <t>NB</t>
  </si>
  <si>
    <t>11120004</t>
  </si>
  <si>
    <t>base.state_id_nt</t>
  </si>
  <si>
    <t>Nusa Tenggara Timur</t>
  </si>
  <si>
    <t>Pembayaran Belum Lunas</t>
  </si>
  <si>
    <t>NT</t>
  </si>
  <si>
    <t>base.state_id_pa</t>
  </si>
  <si>
    <t>Papua</t>
  </si>
  <si>
    <t>PA</t>
  </si>
  <si>
    <t>base.state_id_pb</t>
  </si>
  <si>
    <t>Papua Barat</t>
  </si>
  <si>
    <t>PB</t>
  </si>
  <si>
    <t>base.state_id_pd</t>
  </si>
  <si>
    <t>Papua Barat Daya</t>
  </si>
  <si>
    <t>PD</t>
  </si>
  <si>
    <t>npl</t>
  </si>
  <si>
    <t>base.state_id_pe</t>
  </si>
  <si>
    <t>group</t>
  </si>
  <si>
    <t>Papua Pegunungan</t>
  </si>
  <si>
    <t>PE</t>
  </si>
  <si>
    <t>base.state_id_ps</t>
  </si>
  <si>
    <t>Papua Selatan</t>
  </si>
  <si>
    <t>PS</t>
  </si>
  <si>
    <t>npl group name level 2</t>
  </si>
  <si>
    <t>base.state_id_pt</t>
  </si>
  <si>
    <t>Papua Tengah</t>
  </si>
  <si>
    <t>npl group name level 3</t>
  </si>
  <si>
    <t>PT</t>
  </si>
  <si>
    <t>Piutang</t>
  </si>
  <si>
    <t>base.state_id_ri</t>
  </si>
  <si>
    <t>Riau</t>
  </si>
  <si>
    <t>Neraca</t>
  </si>
  <si>
    <t>RI</t>
  </si>
  <si>
    <t>Aktiva</t>
  </si>
  <si>
    <t>base.state_id_sa</t>
  </si>
  <si>
    <t>asset_receivable</t>
  </si>
  <si>
    <t>Sulawesi Utara</t>
  </si>
  <si>
    <t>SA</t>
  </si>
  <si>
    <t>base.state_id_sb</t>
  </si>
  <si>
    <t>Sumatra Barat</t>
  </si>
  <si>
    <t>SB</t>
  </si>
  <si>
    <t>base.state_id_sg</t>
  </si>
  <si>
    <t>Sulawesi Tenggara</t>
  </si>
  <si>
    <t>SG</t>
  </si>
  <si>
    <t>base.state_id_sn</t>
  </si>
  <si>
    <t>Sulawesi Selatan</t>
  </si>
  <si>
    <t>SN</t>
  </si>
  <si>
    <t>base.state_id_sr</t>
  </si>
  <si>
    <t>account.1_l10n_id_11210010</t>
  </si>
  <si>
    <t>Sulawesi Barat</t>
  </si>
  <si>
    <t>SR</t>
  </si>
  <si>
    <t>base.state_id_ss</t>
  </si>
  <si>
    <t>11210010</t>
  </si>
  <si>
    <t>Sumatra Selatan</t>
  </si>
  <si>
    <t>SS</t>
  </si>
  <si>
    <t>Piutang Usaha</t>
  </si>
  <si>
    <t>base.state_id_st</t>
  </si>
  <si>
    <t>asset_cash</t>
  </si>
  <si>
    <t>Sulawesi Tengah</t>
  </si>
  <si>
    <t>ST</t>
  </si>
  <si>
    <t>base.state_id_su</t>
  </si>
  <si>
    <t>Sumatra Utara</t>
  </si>
  <si>
    <t>SU</t>
  </si>
  <si>
    <t>asset_current</t>
  </si>
  <si>
    <t>base.state_id_yo</t>
  </si>
  <si>
    <t>YO</t>
  </si>
  <si>
    <t>Aktiva Tidak Lancar</t>
  </si>
  <si>
    <t>asset_non_current</t>
  </si>
  <si>
    <t>Prabayar</t>
  </si>
  <si>
    <t>asset_prepayments</t>
  </si>
  <si>
    <t>Aktiva Tetap</t>
  </si>
  <si>
    <t>asset_fixed</t>
  </si>
  <si>
    <t>Utang</t>
  </si>
  <si>
    <t>Liabilitas</t>
  </si>
  <si>
    <t>liability_payable</t>
  </si>
  <si>
    <t>Kartu Kredit</t>
  </si>
  <si>
    <t>account.1_l10n_id_11210011</t>
  </si>
  <si>
    <t>liability_credit_card</t>
  </si>
  <si>
    <t>11210011</t>
  </si>
  <si>
    <t>Piutang Usaha (PoS)</t>
  </si>
  <si>
    <t>Pasiva Terkini</t>
  </si>
  <si>
    <t>liability_current</t>
  </si>
  <si>
    <t>Hutang Tidak Lancar</t>
  </si>
  <si>
    <t>liability_non_current</t>
  </si>
  <si>
    <t>field_id</t>
  </si>
  <si>
    <t>Ekuitas</t>
  </si>
  <si>
    <t>value</t>
  </si>
  <si>
    <t>equity</t>
  </si>
  <si>
    <t>account.selection__account_account__account_type__asset_receivable</t>
  </si>
  <si>
    <t>Jenis (Akun)</t>
  </si>
  <si>
    <t>Penghasilan Tahun Terkini</t>
  </si>
  <si>
    <t>account.selection__account_account__account_type__asset_cash</t>
  </si>
  <si>
    <t>equity_unaffected</t>
  </si>
  <si>
    <t>account.selection__account_account__account_type__asset_current</t>
  </si>
  <si>
    <t>Penghasilan</t>
  </si>
  <si>
    <t>account.1_l10n_id_11210012</t>
  </si>
  <si>
    <t>P&amp;L</t>
  </si>
  <si>
    <t>11210012</t>
  </si>
  <si>
    <t>income</t>
  </si>
  <si>
    <t>account.selection__account_account__account_type__asset_non_current</t>
  </si>
  <si>
    <t>Piutang PPN</t>
  </si>
  <si>
    <t>account.selection__account_account__account_type__asset_prepayments</t>
  </si>
  <si>
    <t>Penghasilan Lainnya</t>
  </si>
  <si>
    <t>account.selection__account_account__account_type__asset_fixed</t>
  </si>
  <si>
    <t>income_other</t>
  </si>
  <si>
    <t>account.selection__account_account__account_type__liability_payable</t>
  </si>
  <si>
    <t>Pengeluaran</t>
  </si>
  <si>
    <t>expense</t>
  </si>
  <si>
    <t>account.selection__account_account__account_type__liability_credit_card</t>
  </si>
  <si>
    <t>Pengeluaran Lainnya</t>
  </si>
  <si>
    <t>account.selection__account_account__account_type__liability_current</t>
  </si>
  <si>
    <t>expense_other</t>
  </si>
  <si>
    <t>account.selection__account_account__account_type__liability_non_current</t>
  </si>
  <si>
    <t>Penyusutan</t>
  </si>
  <si>
    <t>Menampung kelebihan PPN yang dapat diminta kembali (restitusi) atau dikompensasikan</t>
  </si>
  <si>
    <t>expense_depreciation</t>
  </si>
  <si>
    <t>account.selection__account_account__account_type__equity</t>
  </si>
  <si>
    <t>Biaya Pendapatan</t>
  </si>
  <si>
    <t>account.1_l10n_id_11210013</t>
  </si>
  <si>
    <t>account.selection__account_account__account_type__equity_unaffected</t>
  </si>
  <si>
    <t>11210013</t>
  </si>
  <si>
    <t>expense_direct_cost</t>
  </si>
  <si>
    <t>Piutang STLG</t>
  </si>
  <si>
    <t>account.selection__account_account__account_type__income</t>
  </si>
  <si>
    <t>Off-Balance Sheet</t>
  </si>
  <si>
    <t>Lainnya</t>
  </si>
  <si>
    <t>off_balance</t>
  </si>
  <si>
    <t>account.selection__account_account__account_type__income_other</t>
  </si>
  <si>
    <t>account.selection__account_account__account_type__expense</t>
  </si>
  <si>
    <t>account.selection__account_account__account_type__expense_other</t>
  </si>
  <si>
    <t>account.selection__account_account__account_type__expense_depreciation</t>
  </si>
  <si>
    <t>account.selection__account_account__account_type__expense_direct_cost</t>
  </si>
  <si>
    <t>account.selection__account_account__account_type__off_balance</t>
  </si>
  <si>
    <t>Piutang STLG (Sales Tax on Luxurious Goods)</t>
  </si>
  <si>
    <t>account.1_l10n_id_11210014</t>
  </si>
  <si>
    <t>11210014</t>
  </si>
  <si>
    <t>Piutang PPh 28A</t>
  </si>
  <si>
    <t>PPh 28A Prepaid</t>
  </si>
  <si>
    <t>account.1_l10n_id_11210030</t>
  </si>
  <si>
    <t>11210030</t>
  </si>
  <si>
    <t>PPN Masukan</t>
  </si>
  <si>
    <t>Menampung PPN Masukan dari transaksi pembelian</t>
  </si>
  <si>
    <t>account.1_l10n_id_11210040</t>
  </si>
  <si>
    <t>11210040</t>
  </si>
  <si>
    <t>Beban Dibayar Dimuka</t>
  </si>
  <si>
    <t>Prepaid Expense</t>
  </si>
  <si>
    <t>account.1_l10n_id_11300180</t>
  </si>
  <si>
    <t>11300180</t>
  </si>
  <si>
    <t>Persediaan Lainnya</t>
  </si>
  <si>
    <t>account.1_l10n_id_11410010</t>
  </si>
  <si>
    <t>11410010</t>
  </si>
  <si>
    <t>Sewa Bangunan</t>
  </si>
  <si>
    <t>account.1_l10n_id_11410020</t>
  </si>
  <si>
    <t>11410020</t>
  </si>
  <si>
    <t>Asuransi Dibayar Dimuka</t>
  </si>
  <si>
    <t>account.1_l10n_id_11410030</t>
  </si>
  <si>
    <t>11410030</t>
  </si>
  <si>
    <t>Beban Iklan Dibayar Dimuka</t>
  </si>
  <si>
    <t>account.1_l10n_id_11510010</t>
  </si>
  <si>
    <t>11510010</t>
  </si>
  <si>
    <t>PPH 21 Dibayar Dimuka</t>
  </si>
  <si>
    <t>Prepaid Tax PPh 21</t>
  </si>
  <si>
    <t>account.1_l10n_id_11510020</t>
  </si>
  <si>
    <t>11510020</t>
  </si>
  <si>
    <t>PPH 22 Dibayar Dimuka</t>
  </si>
  <si>
    <t>account.1_l10n_id_11510030</t>
  </si>
  <si>
    <t>11510030</t>
  </si>
  <si>
    <t>PPH 23 Dibayar Dimuka</t>
  </si>
  <si>
    <t>account.1_l10n_id_11510040</t>
  </si>
  <si>
    <t>11510040</t>
  </si>
  <si>
    <t>PPH 25 Dibayar Dimuka</t>
  </si>
  <si>
    <t>account.1_l10n_id_11800000</t>
  </si>
  <si>
    <t>11800000</t>
  </si>
  <si>
    <t>Uang Muka Pembelian</t>
  </si>
  <si>
    <t>account.1_l10n_id_12210010</t>
  </si>
  <si>
    <t>12210010</t>
  </si>
  <si>
    <t>account.1_l10n_id_12210020</t>
  </si>
  <si>
    <t>12210020</t>
  </si>
  <si>
    <t>account.1_l10n_id_12210030</t>
  </si>
  <si>
    <t>12210030</t>
  </si>
  <si>
    <t>account.1_l10n_id_12281010</t>
  </si>
  <si>
    <t>12281010</t>
  </si>
  <si>
    <t>Akumulasi Penyusutan Bangunan Kantor</t>
  </si>
  <si>
    <t>account.1_l10n_id_12281020</t>
  </si>
  <si>
    <t>12281020</t>
  </si>
  <si>
    <t>Akumulasi Penyusutan Kendaraan</t>
  </si>
  <si>
    <t>account.1_l10n_id_12281030</t>
  </si>
  <si>
    <t>12281030</t>
  </si>
  <si>
    <t>Akumulasi Penyusutan Peralatan Kantor</t>
  </si>
  <si>
    <t>account.1_transfer_account_id</t>
  </si>
  <si>
    <t>19999991</t>
  </si>
  <si>
    <t>Liquidity Transfer</t>
  </si>
  <si>
    <t>account.1_l10n_id_21100010</t>
  </si>
  <si>
    <t>21100010</t>
  </si>
  <si>
    <t>Hutang Usaha</t>
  </si>
  <si>
    <t>account.1_l10n_id_21100011</t>
  </si>
  <si>
    <t>21100011</t>
  </si>
  <si>
    <t>Hutang PPN</t>
  </si>
  <si>
    <t>Menampung PPN yang harus disetor ke negara setelah proses tutup masa pajak</t>
  </si>
  <si>
    <t>account.1_l10n_id_21100012</t>
  </si>
  <si>
    <t>21100012</t>
  </si>
  <si>
    <t>Hutang PPnBM</t>
  </si>
  <si>
    <t>STLG Payable</t>
  </si>
  <si>
    <t>account.1_l10n_id_21100013</t>
  </si>
  <si>
    <t>21100013</t>
  </si>
  <si>
    <t>Piutang Karyawan</t>
  </si>
  <si>
    <t>account.1_l10n_id_21100014</t>
  </si>
  <si>
    <t>21100014</t>
  </si>
  <si>
    <t>Hutang Pajak PPh 29</t>
  </si>
  <si>
    <t>Tax Payable PPh 29</t>
  </si>
  <si>
    <t>account.1_l10n_id_21100020</t>
  </si>
  <si>
    <t>21100020</t>
  </si>
  <si>
    <t>Hutang Pemegang Saham</t>
  </si>
  <si>
    <t>account.1_l10n_id_21100030</t>
  </si>
  <si>
    <t>21100030</t>
  </si>
  <si>
    <t>Hutang Pihak Ketiga</t>
  </si>
  <si>
    <t>account.1_l10n_id_21100040</t>
  </si>
  <si>
    <t>21100040</t>
  </si>
  <si>
    <t>Hutang Gaji</t>
  </si>
  <si>
    <t>account.1_l10n_id_21210010</t>
  </si>
  <si>
    <t>21210010</t>
  </si>
  <si>
    <t>Hutang Pajak PPh 21</t>
  </si>
  <si>
    <t>account.1_l10n_id_21210020</t>
  </si>
  <si>
    <t>21210020</t>
  </si>
  <si>
    <t>Hutang Pajak PPh 22</t>
  </si>
  <si>
    <t>account.1_l10n_id_21210030</t>
  </si>
  <si>
    <t>21210030</t>
  </si>
  <si>
    <t>Hutang Pajak PPh 23</t>
  </si>
  <si>
    <t>account.1_l10n_id_21210040</t>
  </si>
  <si>
    <t>21210040</t>
  </si>
  <si>
    <t>Hutang Pajak PPh 25</t>
  </si>
  <si>
    <t>account.1_l10n_id_21210050</t>
  </si>
  <si>
    <t>21210050</t>
  </si>
  <si>
    <t>Hutang Pajak Pasal 4 (2)</t>
  </si>
  <si>
    <t>account.1_l10n_id_21210060</t>
  </si>
  <si>
    <t>21210060</t>
  </si>
  <si>
    <t>Hutang Pajak PPh 26</t>
  </si>
  <si>
    <t>account.1_l10n_id_21221010</t>
  </si>
  <si>
    <t>21221010</t>
  </si>
  <si>
    <t>PPN Keluaran</t>
  </si>
  <si>
    <t>Menampung PPN Keluaran dari transaksi penjualan</t>
  </si>
  <si>
    <t>account.1_l10n_id_22110010</t>
  </si>
  <si>
    <t>22110010</t>
  </si>
  <si>
    <t>Hutang Bank</t>
  </si>
  <si>
    <t>account.1_l10n_id_22110020</t>
  </si>
  <si>
    <t>22110020</t>
  </si>
  <si>
    <t>Hutang Leasing</t>
  </si>
  <si>
    <t>account.1_l10n_id_25110010</t>
  </si>
  <si>
    <t>25110010</t>
  </si>
  <si>
    <t>BYMHD Listrik</t>
  </si>
  <si>
    <t>Biaya Yang Masih Harus dibayar</t>
  </si>
  <si>
    <t>account.1_l10n_id_25110020</t>
  </si>
  <si>
    <t>25110020</t>
  </si>
  <si>
    <t>BYMHD Jamsostek</t>
  </si>
  <si>
    <t>account.1_l10n_id_25110030</t>
  </si>
  <si>
    <t>25110030</t>
  </si>
  <si>
    <t>BYMHD Air</t>
  </si>
  <si>
    <t>account.1_l10n_id_25110040</t>
  </si>
  <si>
    <t>25110040</t>
  </si>
  <si>
    <t>BYMHD Telepon</t>
  </si>
  <si>
    <t>account.1_l10n_id_25110050</t>
  </si>
  <si>
    <t>25110050</t>
  </si>
  <si>
    <t>BYMHD Jasa Pengelola Keamanan</t>
  </si>
  <si>
    <t>account.1_l10n_id_25110060</t>
  </si>
  <si>
    <t>25110060</t>
  </si>
  <si>
    <t>BYMHD Bank</t>
  </si>
  <si>
    <t>account.1_l10n_id_25110070</t>
  </si>
  <si>
    <t>25110070</t>
  </si>
  <si>
    <t>BYMHD PBB</t>
  </si>
  <si>
    <t>account.1_l10n_id_25110080</t>
  </si>
  <si>
    <t>25110080</t>
  </si>
  <si>
    <t>BYMHD Izin Usaha</t>
  </si>
  <si>
    <t>account.1_l10n_id_25110090</t>
  </si>
  <si>
    <t>25110090</t>
  </si>
  <si>
    <t>BYMHD Asuransi</t>
  </si>
  <si>
    <t>account.1_l10n_id_25110100</t>
  </si>
  <si>
    <t>25110100</t>
  </si>
  <si>
    <t>BYMHD Pendidikan dan Latihan</t>
  </si>
  <si>
    <t>account.1_l10n_id_25110110</t>
  </si>
  <si>
    <t>25110110</t>
  </si>
  <si>
    <t>BYMHD Jaminan Kesehatan/BPJS</t>
  </si>
  <si>
    <t>account.1_l10n_id_28110010</t>
  </si>
  <si>
    <t>28110010</t>
  </si>
  <si>
    <t>Uang Muka Penjualan</t>
  </si>
  <si>
    <t>account.1_l10n_id_28110020</t>
  </si>
  <si>
    <t>28110020</t>
  </si>
  <si>
    <t>Deposit Pelanggan</t>
  </si>
  <si>
    <t>account.1_l10n_id_28110030</t>
  </si>
  <si>
    <t>28110030</t>
  </si>
  <si>
    <t>Deferred Revenue</t>
  </si>
  <si>
    <t>account.1_l10n_id_29000000</t>
  </si>
  <si>
    <t>29000000</t>
  </si>
  <si>
    <t>Stok Interim</t>
  </si>
  <si>
    <t>account.1_l10n_id_31100010</t>
  </si>
  <si>
    <t>31100010</t>
  </si>
  <si>
    <t>Modal Dasar</t>
  </si>
  <si>
    <t>account.1_l10n_id_31100020</t>
  </si>
  <si>
    <t>31100020</t>
  </si>
  <si>
    <t>Modal Yang Disetor</t>
  </si>
  <si>
    <t>account.1_l10n_id_31100030</t>
  </si>
  <si>
    <t>31100030</t>
  </si>
  <si>
    <t>Modal Yang Belum Disetor</t>
  </si>
  <si>
    <t>account.1_l10n_id_31100040</t>
  </si>
  <si>
    <t>31100040</t>
  </si>
  <si>
    <t>Prive (Pengambilan Pribadi)</t>
  </si>
  <si>
    <t>account.1_l10n_id_31210010</t>
  </si>
  <si>
    <t>31210010</t>
  </si>
  <si>
    <t>Cadangan Modal</t>
  </si>
  <si>
    <t>account.1_l10n_id_31510010</t>
  </si>
  <si>
    <t>31510010</t>
  </si>
  <si>
    <t>Laba Rugi Tahun Lalu</t>
  </si>
  <si>
    <t>account.1_l10n_id_31510020</t>
  </si>
  <si>
    <t>31510020</t>
  </si>
  <si>
    <t>Laba Rugi Tahun Berjalan</t>
  </si>
  <si>
    <t>account.1_l10n_id_39000000</t>
  </si>
  <si>
    <t>39000000</t>
  </si>
  <si>
    <t>Historical Balance</t>
  </si>
  <si>
    <t>account.1_l10n_id_41000010</t>
  </si>
  <si>
    <t>41000010</t>
  </si>
  <si>
    <t>Penjualan</t>
  </si>
  <si>
    <t>account.1_l10n_id_42000060</t>
  </si>
  <si>
    <t>42000060</t>
  </si>
  <si>
    <t>Retur Penjualan</t>
  </si>
  <si>
    <t>account.1_l10n_id_42000070</t>
  </si>
  <si>
    <t>42000070</t>
  </si>
  <si>
    <t>Discount Penjualan</t>
  </si>
  <si>
    <t>account.1_l10n_id_42500010</t>
  </si>
  <si>
    <t>42500010</t>
  </si>
  <si>
    <t>Perubahan Persediaan</t>
  </si>
  <si>
    <t>account.1_l10n_id_51000010</t>
  </si>
  <si>
    <t>51000010</t>
  </si>
  <si>
    <t>Harga Pokok Penjualan</t>
  </si>
  <si>
    <t>account.1_l10n_id_51000020</t>
  </si>
  <si>
    <t>51000020</t>
  </si>
  <si>
    <t>Pembelian Bahan Baku</t>
  </si>
  <si>
    <t>account.1_l10n_id_61100010</t>
  </si>
  <si>
    <t>61100010</t>
  </si>
  <si>
    <t>Gaji Karyawan</t>
  </si>
  <si>
    <t>account.1_l10n_id_61100020</t>
  </si>
  <si>
    <t>61100020</t>
  </si>
  <si>
    <t>Tunjangan/ Bonus Karyawan</t>
  </si>
  <si>
    <t>account.1_l10n_id_61100030</t>
  </si>
  <si>
    <t>61100030</t>
  </si>
  <si>
    <t>Lembur Karyawan</t>
  </si>
  <si>
    <t>account.1_l10n_id_61100100</t>
  </si>
  <si>
    <t>61100100</t>
  </si>
  <si>
    <t>Tunjangan PPH Pasal 21</t>
  </si>
  <si>
    <t>account.1_l10n_id_61100110</t>
  </si>
  <si>
    <t>61100110</t>
  </si>
  <si>
    <t>PPh 22 Final</t>
  </si>
  <si>
    <t>account.1_l10n_id_61100120</t>
  </si>
  <si>
    <t>61100120</t>
  </si>
  <si>
    <t>PPh 4(2) Final</t>
  </si>
  <si>
    <t>account.1_l10n_id_63110060</t>
  </si>
  <si>
    <t>63110060</t>
  </si>
  <si>
    <t>Telepon</t>
  </si>
  <si>
    <t>account.1_l10n_id_63110080</t>
  </si>
  <si>
    <t>63110080</t>
  </si>
  <si>
    <t>Listrik</t>
  </si>
  <si>
    <t>account.1_l10n_id_63110100</t>
  </si>
  <si>
    <t>63110100</t>
  </si>
  <si>
    <t>Research &amp; Development</t>
  </si>
  <si>
    <t>account.1_l10n_id_63110120</t>
  </si>
  <si>
    <t>63110120</t>
  </si>
  <si>
    <t>Perlengkapan Kantor</t>
  </si>
  <si>
    <t>account.1_l10n_id_63110140</t>
  </si>
  <si>
    <t>63110140</t>
  </si>
  <si>
    <t>Keperluan Lain-lain</t>
  </si>
  <si>
    <t>account.1_l10n_id_64110020</t>
  </si>
  <si>
    <t>64110020</t>
  </si>
  <si>
    <t>Keperluan Pos</t>
  </si>
  <si>
    <t>account.1_l10n_id_65110010</t>
  </si>
  <si>
    <t>65110010</t>
  </si>
  <si>
    <t>Biaya Perizinan</t>
  </si>
  <si>
    <t>account.1_l10n_id_65110020</t>
  </si>
  <si>
    <t>65110020</t>
  </si>
  <si>
    <t>Biaya Administrasi Bank</t>
  </si>
  <si>
    <t>account.1_l10n_id_65110030</t>
  </si>
  <si>
    <t>65110030</t>
  </si>
  <si>
    <t>Biaya Konsultan</t>
  </si>
  <si>
    <t>account.1_l10n_id_65110040</t>
  </si>
  <si>
    <t>65110040</t>
  </si>
  <si>
    <t>Biaya Sewa</t>
  </si>
  <si>
    <t>account.1_l10n_id_65110050</t>
  </si>
  <si>
    <t>65110050</t>
  </si>
  <si>
    <t>Insurance Costs</t>
  </si>
  <si>
    <t>account.1_l10n_id_65110060</t>
  </si>
  <si>
    <t>65110060</t>
  </si>
  <si>
    <t>Biaya Pemeliharaan &amp; Perawatan Gedung</t>
  </si>
  <si>
    <t>account.1_l10n_id_65110070</t>
  </si>
  <si>
    <t>65110070</t>
  </si>
  <si>
    <t>Pajak</t>
  </si>
  <si>
    <t>account.1_l10n_id_65110080</t>
  </si>
  <si>
    <t>65110080</t>
  </si>
  <si>
    <t>Biaya Pemeliharaan &amp; Perawatan Aset</t>
  </si>
  <si>
    <t>account.1_l10n_id_65110090</t>
  </si>
  <si>
    <t>65110090</t>
  </si>
  <si>
    <t>Biaya Pengiriman Dokumen/Barang</t>
  </si>
  <si>
    <t>account.1_l10n_id_66110010</t>
  </si>
  <si>
    <t>66110010</t>
  </si>
  <si>
    <t>BBM kendaraan</t>
  </si>
  <si>
    <t>account.1_l10n_id_66110020</t>
  </si>
  <si>
    <t>66110020</t>
  </si>
  <si>
    <t>Service kendaraan</t>
  </si>
  <si>
    <t>account.1_l10n_id_66110030</t>
  </si>
  <si>
    <t>66110030</t>
  </si>
  <si>
    <t>Parkir &amp; tol kendaraan</t>
  </si>
  <si>
    <t>account.1_l10n_id_66110040</t>
  </si>
  <si>
    <t>66110040</t>
  </si>
  <si>
    <t>Pajak Kendaraan</t>
  </si>
  <si>
    <t>account.1_l10n_id_66110050</t>
  </si>
  <si>
    <t>66110050</t>
  </si>
  <si>
    <t>Asuransi Kendaraan</t>
  </si>
  <si>
    <t>account.1_l10n_id_67100010</t>
  </si>
  <si>
    <t>67100010</t>
  </si>
  <si>
    <t>account.1_l10n_id_67100020</t>
  </si>
  <si>
    <t>67100020</t>
  </si>
  <si>
    <t>account.1_l10n_id_67100030</t>
  </si>
  <si>
    <t>67100030</t>
  </si>
  <si>
    <t>account.1_l10n_id_69000000</t>
  </si>
  <si>
    <t>69000000</t>
  </si>
  <si>
    <t>Biaya Lain-lain</t>
  </si>
  <si>
    <t>account.1_l10n_id_81100010</t>
  </si>
  <si>
    <t>81100010</t>
  </si>
  <si>
    <t>Pendapatan Bunga</t>
  </si>
  <si>
    <t>account.1_l10n_id_81100020</t>
  </si>
  <si>
    <t>81100020</t>
  </si>
  <si>
    <t>Pendapatan Deposit</t>
  </si>
  <si>
    <t>account.1_l10n_id_81100030</t>
  </si>
  <si>
    <t>81100030</t>
  </si>
  <si>
    <t>Keuntungan Selisih Kurs</t>
  </si>
  <si>
    <t>account.1_l10n_id_81100040</t>
  </si>
  <si>
    <t>81100040</t>
  </si>
  <si>
    <t>Pendapatan lainnya</t>
  </si>
  <si>
    <t>account.1_l10n_id_81100050</t>
  </si>
  <si>
    <t>81100050</t>
  </si>
  <si>
    <t>Keuntungan Atas Penjualan Aktiva Tetap</t>
  </si>
  <si>
    <t>account.1_l10n_id_91100010</t>
  </si>
  <si>
    <t>91100010</t>
  </si>
  <si>
    <t>Beban Bunga</t>
  </si>
  <si>
    <t>account.1_l10n_id_91100020</t>
  </si>
  <si>
    <t>91100020</t>
  </si>
  <si>
    <t>Kerugian Selisih Kurs</t>
  </si>
  <si>
    <t>account.1_l10n_id_91100030</t>
  </si>
  <si>
    <t>91100030</t>
  </si>
  <si>
    <t>Kerugian Atas Penjualan Aktiva Tetap</t>
  </si>
  <si>
    <t>account.1_l10n_id_99900001</t>
  </si>
  <si>
    <t>99900001</t>
  </si>
  <si>
    <t>Kerugian Pendapatan Kas</t>
  </si>
  <si>
    <t>account.1_l10n_id_99900002</t>
  </si>
  <si>
    <t>99900002</t>
  </si>
  <si>
    <t>Pendapatan Perbedaan Kas</t>
  </si>
  <si>
    <t>account.1_l10n_id_99900003</t>
  </si>
  <si>
    <t>99900003</t>
  </si>
  <si>
    <t>Beban Diskon Tunai</t>
  </si>
  <si>
    <t>Cash Discount Loss</t>
  </si>
  <si>
    <t>account.1_l10n_id_99900004</t>
  </si>
  <si>
    <t>99900004</t>
  </si>
  <si>
    <t>Pendapatan Diskon Tunai</t>
  </si>
  <si>
    <t>Cash Discount Gain</t>
  </si>
  <si>
    <t>account.1_l10n_id_999999</t>
  </si>
  <si>
    <t>99999900</t>
  </si>
  <si>
    <t>Laba/Rugi Belum Dialokasikan</t>
  </si>
  <si>
    <t>Undistributed Profits/Losses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</si>
</sst>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</font>
    <font>
      <u/>
      <color rgb="FF0000FF"/>
      <name val="Arial"/>
    </font>
    <font>
      <color rgb="FF434343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center"/>
    </xf>
    <xf borderId="0" fillId="2" fontId="1" numFmtId="164" xfId="0" applyAlignment="1" applyFill="1" applyFont="1" applyNumberFormat="1">
      <alignment readingOrder="0" shrinkToFit="0" vertical="center" wrapText="1"/>
    </xf>
    <xf borderId="0" fillId="0" fontId="1" numFmtId="164" xfId="0" applyAlignment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1" fillId="3" fontId="3" numFmtId="0" xfId="0" applyAlignment="1" applyBorder="1" applyFill="1" applyFont="1">
      <alignment shrinkToFit="0" vertical="center" wrapText="0"/>
    </xf>
    <xf borderId="2" fillId="3" fontId="3" numFmtId="0" xfId="0" applyAlignment="1" applyBorder="1" applyFill="1" applyFont="1">
      <alignment readingOrder="0" shrinkToFit="0" vertical="center" wrapText="1"/>
    </xf>
    <xf borderId="3" fillId="4" fontId="3" numFmtId="0" xfId="0" applyAlignment="1" applyBorder="1" applyFill="1" applyFont="1">
      <alignment shrinkToFit="0" vertical="center" wrapText="0"/>
    </xf>
    <xf borderId="4" fillId="4" fontId="3" numFmtId="0" xfId="0" applyAlignment="1" applyBorder="1" applyFill="1" applyFont="1">
      <alignment shrinkToFit="0" vertical="center" wrapText="1"/>
    </xf>
    <xf borderId="2" fillId="3" fontId="3" numFmtId="0" xfId="0" applyAlignment="1" applyBorder="1" applyFill="1" applyFont="1">
      <alignment shrinkToFit="0" vertical="center" wrapText="1"/>
    </xf>
    <xf borderId="0" fillId="2" fontId="4" numFmtId="0" xfId="0" applyAlignment="1" applyFill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5" fillId="3" fontId="3" numFmtId="0" xfId="0" applyAlignment="1" applyBorder="1" applyFill="1" applyFont="1">
      <alignment shrinkToFit="0" vertical="center" wrapText="0"/>
    </xf>
    <xf borderId="6" fillId="3" fontId="3" numFmtId="0" xfId="0" applyAlignment="1" applyBorder="1" applyFill="1" applyFont="1">
      <alignment shrinkToFit="0" vertical="center" wrapText="1"/>
    </xf>
    <xf borderId="0" fillId="0" fontId="4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3" xfId="0" applyAlignment="1" applyFont="1" applyNumberFormat="1">
      <alignment readingOrder="0" shrinkToFit="0" vertical="center" wrapText="0"/>
    </xf>
    <xf quotePrefix="1"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3" xfId="0" applyAlignment="1" applyFont="1" applyNumberFormat="1">
      <alignment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3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2" fontId="4" numFmtId="4" xfId="0" applyAlignment="1" applyFill="1" applyFont="1" applyNumberFormat="1">
      <alignment horizontal="left"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3" xfId="0" applyFont="1" applyNumberFormat="1"/>
    <xf borderId="0" fillId="0" fontId="4" numFmtId="49" xfId="0" applyAlignment="1" applyFont="1" applyNumberForma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</dxfs>
  <tableStyles count="12">
    <tableStyle count="4" pivot="0" name="petunjuk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.partn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.accoun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.journ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as_bank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endor_bil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ustomer_invoic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.asse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.asset.mode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.country.stat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.account.account_typ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r.model.fields.selec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B10" displayName="petunjuk" name="petunjuk" id="1">
  <tableColumns count="2">
    <tableColumn name="sheet" id="1"/>
    <tableColumn name="keterangan" id="2"/>
  </tableColumns>
  <tableStyleInfo name="petunjuk-style" showColumnStripes="0" showFirstColumn="1" showLastColumn="1" showRowStripes="1"/>
</table>
</file>

<file path=xl/tables/table2.xml><?xml version="1.0" encoding="utf-8"?>
<table xmlns="http://schemas.openxmlformats.org/spreadsheetml/2006/main" ref="A1:J2" displayName="res.partner" name="res.partner" id="3">
  <tableColumns count="10">
    <tableColumn name="id" id="1"/>
    <tableColumn name="name" id="2"/>
    <tableColumn name="email" id="3"/>
    <tableColumn name="phone" id="4"/>
    <tableColumn name="is_company" id="5"/>
    <tableColumn name="street" id="6"/>
    <tableColumn name="city" id="7"/>
    <tableColumn name="state" id="8"/>
    <tableColumn name="ref" id="9"/>
    <tableColumn name="country_id" id="10"/>
  </tableColumns>
  <tableStyleInfo name="res.partner-style" showColumnStripes="0" showFirstColumn="1" showLastColumn="1" showRowStripes="1"/>
</table>
</file>

<file path=xl/tables/table3.xml><?xml version="1.0" encoding="utf-8"?>
<table xmlns="http://schemas.openxmlformats.org/spreadsheetml/2006/main" ref="A1:N119" displayName="account.account" name="account.account" id="2">
  <tableColumns count="14">
    <tableColumn name="id" id="1"/>
    <tableColumn name="urutan" id="2"/>
    <tableColumn name="code" id="3"/>
    <tableColumn name="name" id="4"/>
    <tableColumn name="account_type" id="5"/>
    <tableColumn name="opening_debit" id="6"/>
    <tableColumn name="opening_credit" id="7"/>
    <tableColumn name="account_type_level_2" id="8"/>
    <tableColumn name="account_type_level_3" id="9"/>
    <tableColumn name="code_name" id="10"/>
    <tableColumn name="original" id="11"/>
    <tableColumn name="active" id="12"/>
    <tableColumn name="original_name" id="13"/>
    <tableColumn name="description" id="14"/>
  </tableColumns>
  <tableStyleInfo name="account.account-style" showColumnStripes="0" showFirstColumn="1" showLastColumn="1" showRowStripes="1"/>
</table>
</file>

<file path=xl/tables/table4.xml><?xml version="1.0" encoding="utf-8"?>
<table xmlns="http://schemas.openxmlformats.org/spreadsheetml/2006/main" ref="A1:G4" displayName="account.journal" name="account.journal" id="4">
  <tableColumns count="7">
    <tableColumn name="id" id="1"/>
    <tableColumn name="sequence" id="2"/>
    <tableColumn name="name" id="3"/>
    <tableColumn name="type" id="4"/>
    <tableColumn name="code" id="5"/>
    <tableColumn name="default_account_id" id="6"/>
    <tableColumn name="Bank Feed" id="7"/>
  </tableColumns>
  <tableStyleInfo name="account.journal-style" showColumnStripes="0" showFirstColumn="1" showLastColumn="1" showRowStripes="1"/>
</table>
</file>

<file path=xl/tables/table5.xml><?xml version="1.0" encoding="utf-8"?>
<table xmlns="http://schemas.openxmlformats.org/spreadsheetml/2006/main" ref="A1:H3" displayName="kas_bank" name="kas_bank" id="5">
  <tableColumns count="8">
    <tableColumn name="id" id="1"/>
    <tableColumn name="Reference" id="2"/>
    <tableColumn name="date" id="3"/>
    <tableColumn name="journal" id="4"/>
    <tableColumn name="line_ids/account" id="5"/>
    <tableColumn name="line_ids/debit" id="6"/>
    <tableColumn name="line_ids/credit" id="7"/>
    <tableColumn name="line_ids/name" id="8"/>
  </tableColumns>
  <tableStyleInfo name="kas_bank-style" showColumnStripes="0" showFirstColumn="1" showLastColumn="1" showRowStripes="1"/>
</table>
</file>

<file path=xl/tables/table6.xml><?xml version="1.0" encoding="utf-8"?>
<table xmlns="http://schemas.openxmlformats.org/spreadsheetml/2006/main" ref="A1:J7" displayName="vendor_bill" name="vendor_bill" id="6">
  <tableColumns count="10">
    <tableColumn name="id" id="1"/>
    <tableColumn name="Reference" id="2"/>
    <tableColumn name="date" id="3"/>
    <tableColumn name="journal" id="4"/>
    <tableColumn name="line_ids/account" id="5"/>
    <tableColumn name="line_ids/debit" id="6"/>
    <tableColumn name="line_ids/credit" id="7"/>
    <tableColumn name="line_ids/name" id="8"/>
    <tableColumn name="line_ids/partner" id="9"/>
    <tableColumn name="line_ids/date_maturity" id="10"/>
  </tableColumns>
  <tableStyleInfo name="vendor_bill-style" showColumnStripes="0" showFirstColumn="1" showLastColumn="1" showRowStripes="1"/>
</table>
</file>

<file path=xl/tables/table7.xml><?xml version="1.0" encoding="utf-8"?>
<table xmlns="http://schemas.openxmlformats.org/spreadsheetml/2006/main" ref="A1:J5" displayName="customer_invoice" name="customer_invoice" id="7">
  <tableColumns count="10">
    <tableColumn name="id" id="1"/>
    <tableColumn name="Reference" id="2"/>
    <tableColumn name="date" id="3"/>
    <tableColumn name="journal" id="4"/>
    <tableColumn name="line_ids/account" id="5"/>
    <tableColumn name="line_ids/debit" id="6"/>
    <tableColumn name="line_ids/credit" id="7"/>
    <tableColumn name="line_ids/name" id="8"/>
    <tableColumn name="line_ids/partner" id="9"/>
    <tableColumn name="line_ids/date_maturity" id="10"/>
  </tableColumns>
  <tableStyleInfo name="customer_invoice-style" showColumnStripes="0" showFirstColumn="1" showLastColumn="1" showRowStripes="1"/>
</table>
</file>

<file path=xl/tables/table8.xml><?xml version="1.0" encoding="utf-8"?>
<table xmlns="http://schemas.openxmlformats.org/spreadsheetml/2006/main" ref="A1:K3" displayName="account.asset" name="account.asset" id="8">
  <tableColumns count="11">
    <tableColumn name="id" id="1"/>
    <tableColumn name="name" id="2"/>
    <tableColumn name="acquisition_date" id="3"/>
    <tableColumn name="original_value" id="4"/>
    <tableColumn name="account_asset_id" id="5"/>
    <tableColumn name="account_depreciation_id" id="6"/>
    <tableColumn name="account_depreciation_expense_id" id="7"/>
    <tableColumn name="method_number" id="8"/>
    <tableColumn name="method_period" id="9"/>
    <tableColumn name="method" id="10"/>
    <tableColumn name="Jurnal" id="11"/>
  </tableColumns>
  <tableStyleInfo name="account.asset-style" showColumnStripes="0" showFirstColumn="1" showLastColumn="1" showRowStripes="1"/>
</table>
</file>

<file path=xl/tables/table9.xml><?xml version="1.0" encoding="utf-8"?>
<table xmlns="http://schemas.openxmlformats.org/spreadsheetml/2006/main" ref="A1:I4" displayName="account.asset.model" name="account.asset.model" id="9">
  <tableColumns count="9">
    <tableColumn name="id" id="1"/>
    <tableColumn name="name" id="2"/>
    <tableColumn name="account_asset_id" id="3"/>
    <tableColumn name="account_depreciation_id" id="4"/>
    <tableColumn name="account_depreciation_expense_id" id="5"/>
    <tableColumn name="method" id="6"/>
    <tableColumn name="method_number" id="7"/>
    <tableColumn name="method_period" id="8"/>
    <tableColumn name="Jurnal" id="9"/>
  </tableColumns>
  <tableStyleInfo name="account.asset.model-style" showColumnStripes="0" showFirstColumn="1" showLastColumn="1" showRowStripes="1"/>
</table>
</file>

<file path=xl/tables/table10.xml><?xml version="1.0" encoding="utf-8"?>
<table xmlns="http://schemas.openxmlformats.org/spreadsheetml/2006/main" ref="A1:D39" displayName="res.country.state" name="res.country.state" id="10">
  <tableColumns count="4">
    <tableColumn name="id" id="1"/>
    <tableColumn name="name" id="2"/>
    <tableColumn name="code" id="3"/>
    <tableColumn name="country_id" id="4"/>
  </tableColumns>
  <tableStyleInfo name="res.country.state-style" showColumnStripes="0" showFirstColumn="1" showLastColumn="1" showRowStripes="1"/>
</table>
</file>

<file path=xl/tables/table11.xml><?xml version="1.0" encoding="utf-8"?>
<table xmlns="http://schemas.openxmlformats.org/spreadsheetml/2006/main" ref="A1:F20" displayName="account.account.account_type" name="account.account.account_type" id="11">
  <tableColumns count="6">
    <tableColumn name="name" id="1"/>
    <tableColumn name="npl" id="2"/>
    <tableColumn name="group" id="3"/>
    <tableColumn name="code" id="4"/>
    <tableColumn name="npl group name level 2" id="5"/>
    <tableColumn name="npl group name level 3" id="6"/>
  </tableColumns>
  <tableStyleInfo name="account.account.account_type-style" showColumnStripes="0" showFirstColumn="1" showLastColumn="1" showRowStripes="1"/>
</table>
</file>

<file path=xl/tables/table12.xml><?xml version="1.0" encoding="utf-8"?>
<table xmlns="http://schemas.openxmlformats.org/spreadsheetml/2006/main" ref="A1:E20" displayName="ir.model.fields.selection" name="ir.model.fields.selection" id="12">
  <tableColumns count="5">
    <tableColumn name="id" id="1"/>
    <tableColumn name="sequence" id="2"/>
    <tableColumn name="field_id" id="3"/>
    <tableColumn name="value" id="4"/>
    <tableColumn name="name" id="5"/>
  </tableColumns>
  <tableStyleInfo name="ir.model.fields.selec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uiiyk.sch.id" TargetMode="External"/><Relationship Id="rId2" Type="http://schemas.openxmlformats.org/officeDocument/2006/relationships/hyperlink" Target="https://smauiiyk.sch.id/wp-content/uploads/2025/06/BARU-scaled.png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82.38"/>
  </cols>
  <sheetData>
    <row r="1">
      <c r="A1" s="6" t="s">
        <v>20</v>
      </c>
      <c r="B1" s="7" t="s">
        <v>23</v>
      </c>
    </row>
    <row r="2">
      <c r="A2" s="8" t="s">
        <v>24</v>
      </c>
      <c r="B2" s="9" t="s">
        <v>29</v>
      </c>
    </row>
    <row r="3">
      <c r="A3" s="10" t="s">
        <v>30</v>
      </c>
      <c r="B3" s="11" t="s">
        <v>31</v>
      </c>
    </row>
    <row r="4">
      <c r="A4" s="8" t="s">
        <v>32</v>
      </c>
      <c r="B4" s="12" t="s">
        <v>33</v>
      </c>
    </row>
    <row r="5">
      <c r="A5" s="10" t="s">
        <v>34</v>
      </c>
      <c r="B5" s="11" t="s">
        <v>35</v>
      </c>
    </row>
    <row r="6">
      <c r="A6" s="8" t="s">
        <v>36</v>
      </c>
      <c r="B6" s="12" t="s">
        <v>37</v>
      </c>
    </row>
    <row r="7">
      <c r="A7" s="10" t="s">
        <v>38</v>
      </c>
      <c r="B7" s="11" t="s">
        <v>40</v>
      </c>
    </row>
    <row r="8">
      <c r="A8" s="8" t="s">
        <v>41</v>
      </c>
      <c r="B8" s="12" t="s">
        <v>42</v>
      </c>
    </row>
    <row r="9">
      <c r="A9" s="10" t="s">
        <v>43</v>
      </c>
      <c r="B9" s="11" t="s">
        <v>42</v>
      </c>
    </row>
    <row r="10">
      <c r="A10" s="15" t="s">
        <v>44</v>
      </c>
      <c r="B10" s="16" t="s">
        <v>42</v>
      </c>
    </row>
    <row r="11">
      <c r="A11" s="18"/>
      <c r="B11" s="19"/>
    </row>
    <row r="12">
      <c r="A12" s="18" t="s">
        <v>48</v>
      </c>
      <c r="B12" s="19"/>
    </row>
    <row r="13">
      <c r="A13" s="1" t="s">
        <v>49</v>
      </c>
      <c r="B13" s="19"/>
    </row>
    <row r="14">
      <c r="A14" s="18"/>
      <c r="B14" s="19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52.38"/>
  </cols>
  <sheetData>
    <row r="1">
      <c r="A1" s="1" t="s">
        <v>0</v>
      </c>
      <c r="B1" s="2">
        <v>46204.0</v>
      </c>
    </row>
    <row r="2">
      <c r="A2" s="1" t="s">
        <v>1</v>
      </c>
      <c r="B2" s="3">
        <f>B1-1</f>
        <v>46203</v>
      </c>
    </row>
    <row r="3">
      <c r="A3" s="1" t="s">
        <v>2</v>
      </c>
      <c r="B3" s="4" t="s">
        <v>3</v>
      </c>
    </row>
    <row r="4">
      <c r="A4" s="1" t="s">
        <v>4</v>
      </c>
      <c r="B4" s="4" t="s">
        <v>5</v>
      </c>
    </row>
    <row r="5">
      <c r="A5" s="1" t="s">
        <v>6</v>
      </c>
      <c r="B5" s="4" t="s">
        <v>7</v>
      </c>
    </row>
    <row r="6">
      <c r="A6" s="1" t="s">
        <v>8</v>
      </c>
      <c r="B6" s="4" t="s">
        <v>9</v>
      </c>
    </row>
    <row r="7">
      <c r="A7" s="1" t="s">
        <v>10</v>
      </c>
      <c r="B7" s="4" t="s">
        <v>9</v>
      </c>
    </row>
    <row r="8">
      <c r="A8" s="1" t="s">
        <v>11</v>
      </c>
      <c r="B8" s="4">
        <v>55151.0</v>
      </c>
    </row>
    <row r="9">
      <c r="A9" s="1" t="s">
        <v>12</v>
      </c>
      <c r="B9" s="4" t="s">
        <v>13</v>
      </c>
    </row>
    <row r="10">
      <c r="A10" s="1" t="s">
        <v>14</v>
      </c>
      <c r="B10" s="4" t="s">
        <v>15</v>
      </c>
    </row>
    <row r="11">
      <c r="A11" s="1" t="s">
        <v>16</v>
      </c>
      <c r="B11" s="4" t="s">
        <v>17</v>
      </c>
    </row>
    <row r="12">
      <c r="A12" s="1" t="s">
        <v>18</v>
      </c>
      <c r="B12" s="5" t="s">
        <v>19</v>
      </c>
    </row>
    <row r="13">
      <c r="A13" s="1" t="s">
        <v>21</v>
      </c>
      <c r="B13" s="5" t="s">
        <v>22</v>
      </c>
    </row>
    <row r="14">
      <c r="A14" s="1" t="s">
        <v>25</v>
      </c>
      <c r="B14" s="4" t="s">
        <v>26</v>
      </c>
    </row>
    <row r="15">
      <c r="A15" s="1" t="s">
        <v>27</v>
      </c>
      <c r="B15" s="4" t="s">
        <v>28</v>
      </c>
    </row>
  </sheetData>
  <hyperlinks>
    <hyperlink r:id="rId1" ref="B12"/>
    <hyperlink r:id="rId2" ref="B13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13"/>
    <col customWidth="1" min="2" max="2" width="14.5"/>
    <col customWidth="1" min="3" max="3" width="15.63"/>
    <col customWidth="1" min="5" max="5" width="17.63"/>
    <col customWidth="1" min="6" max="6" width="19.25"/>
    <col customWidth="1" min="8" max="8" width="17.38"/>
    <col customWidth="1" min="9" max="9" width="19.5"/>
    <col customWidth="1" min="10" max="10" width="16.38"/>
  </cols>
  <sheetData>
    <row r="1">
      <c r="A1" s="13" t="s">
        <v>39</v>
      </c>
      <c r="B1" s="13" t="s">
        <v>2</v>
      </c>
      <c r="C1" s="13" t="s">
        <v>16</v>
      </c>
      <c r="D1" s="13" t="s">
        <v>14</v>
      </c>
      <c r="E1" s="13" t="s">
        <v>46</v>
      </c>
      <c r="F1" s="13" t="s">
        <v>4</v>
      </c>
      <c r="G1" s="13" t="s">
        <v>8</v>
      </c>
      <c r="H1" s="13" t="s">
        <v>10</v>
      </c>
      <c r="I1" s="13" t="s">
        <v>50</v>
      </c>
      <c r="J1" s="14" t="s">
        <v>51</v>
      </c>
    </row>
    <row r="2">
      <c r="A2" s="20" t="s">
        <v>54</v>
      </c>
      <c r="B2" s="20" t="s">
        <v>56</v>
      </c>
      <c r="C2" s="20" t="s">
        <v>57</v>
      </c>
      <c r="E2" s="21" t="b">
        <v>0</v>
      </c>
      <c r="F2" s="20" t="s">
        <v>60</v>
      </c>
      <c r="G2" s="20" t="s">
        <v>61</v>
      </c>
      <c r="H2" s="21" t="s">
        <v>9</v>
      </c>
      <c r="I2" s="23"/>
      <c r="J2" s="21" t="s">
        <v>13</v>
      </c>
    </row>
  </sheetData>
  <dataValidations>
    <dataValidation type="list" allowBlank="1" sqref="E2">
      <formula1>"FALSE,TRUE"</formula1>
    </dataValidation>
    <dataValidation type="list" allowBlank="1" sqref="J2">
      <formula1>"Indonesia"</formula1>
    </dataValidation>
    <dataValidation type="list" allowBlank="1" sqref="H2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3.13"/>
    <col customWidth="1" min="2" max="2" width="10.25"/>
    <col customWidth="1" min="3" max="3" width="12.38"/>
    <col customWidth="1" min="4" max="4" width="32.25"/>
    <col customWidth="1" min="5" max="5" width="25.38"/>
    <col customWidth="1" min="6" max="6" width="19.13"/>
    <col customWidth="1" min="7" max="7" width="19.63"/>
    <col customWidth="1" min="8" max="9" width="35.0"/>
    <col customWidth="1" min="10" max="10" width="40.63"/>
    <col customWidth="1" min="11" max="11" width="14.38"/>
    <col customWidth="1" min="12" max="12" width="13.25"/>
    <col customWidth="1" min="13" max="13" width="23.5"/>
    <col customWidth="1" min="14" max="14" width="68.25"/>
  </cols>
  <sheetData>
    <row r="1">
      <c r="A1" s="14" t="s">
        <v>39</v>
      </c>
      <c r="B1" s="17" t="s">
        <v>45</v>
      </c>
      <c r="C1" s="13" t="s">
        <v>47</v>
      </c>
      <c r="D1" s="13" t="s">
        <v>2</v>
      </c>
      <c r="E1" s="13" t="s">
        <v>52</v>
      </c>
      <c r="F1" s="13" t="s">
        <v>53</v>
      </c>
      <c r="G1" s="13" t="s">
        <v>55</v>
      </c>
      <c r="H1" s="17" t="s">
        <v>58</v>
      </c>
      <c r="I1" s="17" t="s">
        <v>59</v>
      </c>
      <c r="J1" s="22" t="s">
        <v>62</v>
      </c>
      <c r="K1" s="17" t="s">
        <v>63</v>
      </c>
      <c r="L1" s="17" t="s">
        <v>64</v>
      </c>
      <c r="M1" s="17" t="s">
        <v>65</v>
      </c>
      <c r="N1" s="22" t="s">
        <v>66</v>
      </c>
    </row>
    <row r="2">
      <c r="A2" s="20" t="s">
        <v>67</v>
      </c>
      <c r="B2" s="24">
        <v>1.0</v>
      </c>
      <c r="C2" s="25" t="s">
        <v>68</v>
      </c>
      <c r="D2" s="20" t="s">
        <v>69</v>
      </c>
      <c r="E2" s="21" t="s">
        <v>70</v>
      </c>
      <c r="F2" s="24"/>
      <c r="G2" s="24"/>
      <c r="H2" s="23" t="str">
        <f t="array" ref="H2">_xlfn.XLOOKUP(account.account[account_type],account.account.account_type[name],account.account.account_type[npl group name level 2])</f>
        <v>Neraca - Aktiva</v>
      </c>
      <c r="I2" s="23" t="str">
        <f t="array" ref="I2">_xlfn.XLOOKUP(account.account[account_type],account.account.account_type[name],account.account.account_type[npl group name level 3])</f>
        <v>Neraca - Aktiva - Bank dan Tunai</v>
      </c>
      <c r="J2" s="23" t="str">
        <f t="shared" ref="J2:J119" si="1">CONCATENATE(C2," ",D2)</f>
        <v>11110001 Kas</v>
      </c>
      <c r="K2" s="30" t="b">
        <v>1</v>
      </c>
      <c r="L2" s="30" t="b">
        <v>1</v>
      </c>
      <c r="M2" s="24"/>
      <c r="N2" s="24"/>
    </row>
    <row r="3">
      <c r="A3" s="20" t="s">
        <v>100</v>
      </c>
      <c r="B3" s="24">
        <v>2.0</v>
      </c>
      <c r="C3" s="25" t="s">
        <v>101</v>
      </c>
      <c r="D3" s="20" t="s">
        <v>102</v>
      </c>
      <c r="E3" s="21" t="s">
        <v>70</v>
      </c>
      <c r="F3" s="24"/>
      <c r="G3" s="24"/>
      <c r="H3" s="23" t="str">
        <f t="array" ref="H3">_xlfn.XLOOKUP(account.account[account_type],account.account.account_type[name],account.account.account_type[npl group name level 2])</f>
        <v>Neraca - Aktiva</v>
      </c>
      <c r="I3" s="23" t="str">
        <f t="array" ref="I3">_xlfn.XLOOKUP(account.account[account_type],account.account.account_type[name],account.account.account_type[npl group name level 3])</f>
        <v>Neraca - Aktiva - Bank dan Tunai</v>
      </c>
      <c r="J3" s="23" t="str">
        <f t="shared" si="1"/>
        <v>11110010 Kas Kecil</v>
      </c>
      <c r="K3" s="30" t="b">
        <v>1</v>
      </c>
      <c r="L3" s="30" t="b">
        <v>1</v>
      </c>
      <c r="M3" s="24"/>
      <c r="N3" s="24"/>
    </row>
    <row r="4">
      <c r="A4" s="20" t="s">
        <v>118</v>
      </c>
      <c r="B4" s="24">
        <v>3.0</v>
      </c>
      <c r="C4" s="25" t="s">
        <v>119</v>
      </c>
      <c r="D4" s="20" t="s">
        <v>76</v>
      </c>
      <c r="E4" s="21" t="s">
        <v>70</v>
      </c>
      <c r="F4" s="24"/>
      <c r="G4" s="24"/>
      <c r="H4" s="23" t="str">
        <f t="array" ref="H4">_xlfn.XLOOKUP(account.account[account_type],account.account.account_type[name],account.account.account_type[npl group name level 2])</f>
        <v>Neraca - Aktiva</v>
      </c>
      <c r="I4" s="23" t="str">
        <f t="array" ref="I4">_xlfn.XLOOKUP(account.account[account_type],account.account.account_type[name],account.account.account_type[npl group name level 3])</f>
        <v>Neraca - Aktiva - Bank dan Tunai</v>
      </c>
      <c r="J4" s="23" t="str">
        <f t="shared" si="1"/>
        <v>11120001 Bank</v>
      </c>
      <c r="K4" s="30" t="b">
        <v>1</v>
      </c>
      <c r="L4" s="30" t="b">
        <v>1</v>
      </c>
      <c r="M4" s="24"/>
      <c r="N4" s="24"/>
    </row>
    <row r="5">
      <c r="A5" s="20" t="s">
        <v>146</v>
      </c>
      <c r="B5" s="24">
        <v>4.0</v>
      </c>
      <c r="C5" s="25" t="s">
        <v>148</v>
      </c>
      <c r="D5" s="20" t="s">
        <v>149</v>
      </c>
      <c r="E5" s="21" t="s">
        <v>150</v>
      </c>
      <c r="F5" s="24"/>
      <c r="G5" s="24"/>
      <c r="H5" s="23" t="str">
        <f t="array" ref="H5">_xlfn.XLOOKUP(account.account[account_type],account.account.account_type[name],account.account.account_type[npl group name level 2])</f>
        <v>Neraca - Aktiva</v>
      </c>
      <c r="I5" s="23" t="str">
        <f t="array" ref="I5">_xlfn.XLOOKUP(account.account[account_type],account.account.account_type[name],account.account.account_type[npl group name level 3])</f>
        <v>Neraca - Aktiva - Aktiva Lancar</v>
      </c>
      <c r="J5" s="23" t="str">
        <f t="shared" si="1"/>
        <v>11120002 Akun Penangguhan Bank</v>
      </c>
      <c r="K5" s="30" t="b">
        <v>1</v>
      </c>
      <c r="L5" s="30" t="b">
        <v>1</v>
      </c>
      <c r="M5" s="24"/>
      <c r="N5" s="24"/>
    </row>
    <row r="6">
      <c r="A6" s="20" t="s">
        <v>179</v>
      </c>
      <c r="B6" s="24">
        <v>5.0</v>
      </c>
      <c r="C6" s="25" t="s">
        <v>187</v>
      </c>
      <c r="D6" s="20" t="s">
        <v>190</v>
      </c>
      <c r="E6" s="21" t="s">
        <v>150</v>
      </c>
      <c r="F6" s="24"/>
      <c r="G6" s="24"/>
      <c r="H6" s="23" t="str">
        <f t="array" ref="H6">_xlfn.XLOOKUP(account.account[account_type],account.account.account_type[name],account.account.account_type[npl group name level 2])</f>
        <v>Neraca - Aktiva</v>
      </c>
      <c r="I6" s="23" t="str">
        <f t="array" ref="I6">_xlfn.XLOOKUP(account.account[account_type],account.account.account_type[name],account.account.account_type[npl group name level 3])</f>
        <v>Neraca - Aktiva - Aktiva Lancar</v>
      </c>
      <c r="J6" s="23" t="str">
        <f t="shared" si="1"/>
        <v>11120003 Tanda Terima Belum Lunas</v>
      </c>
      <c r="K6" s="30" t="b">
        <v>1</v>
      </c>
      <c r="L6" s="30" t="b">
        <v>1</v>
      </c>
      <c r="M6" s="24"/>
      <c r="N6" s="24"/>
    </row>
    <row r="7">
      <c r="A7" s="20" t="s">
        <v>229</v>
      </c>
      <c r="B7" s="24">
        <v>6.0</v>
      </c>
      <c r="C7" s="25" t="s">
        <v>232</v>
      </c>
      <c r="D7" s="20" t="s">
        <v>235</v>
      </c>
      <c r="E7" s="21" t="s">
        <v>150</v>
      </c>
      <c r="F7" s="24"/>
      <c r="G7" s="24"/>
      <c r="H7" s="23" t="str">
        <f t="array" ref="H7">_xlfn.XLOOKUP(account.account[account_type],account.account.account_type[name],account.account.account_type[npl group name level 2])</f>
        <v>Neraca - Aktiva</v>
      </c>
      <c r="I7" s="23" t="str">
        <f t="array" ref="I7">_xlfn.XLOOKUP(account.account[account_type],account.account.account_type[name],account.account.account_type[npl group name level 3])</f>
        <v>Neraca - Aktiva - Aktiva Lancar</v>
      </c>
      <c r="J7" s="23" t="str">
        <f t="shared" si="1"/>
        <v>11120004 Pembayaran Belum Lunas</v>
      </c>
      <c r="K7" s="30" t="b">
        <v>1</v>
      </c>
      <c r="L7" s="30" t="b">
        <v>1</v>
      </c>
      <c r="M7" s="24"/>
      <c r="N7" s="24"/>
    </row>
    <row r="8">
      <c r="A8" s="20" t="s">
        <v>279</v>
      </c>
      <c r="B8" s="24">
        <v>7.0</v>
      </c>
      <c r="C8" s="25" t="s">
        <v>283</v>
      </c>
      <c r="D8" s="20" t="s">
        <v>286</v>
      </c>
      <c r="E8" s="21" t="s">
        <v>259</v>
      </c>
      <c r="F8" s="24"/>
      <c r="G8" s="24"/>
      <c r="H8" s="23" t="str">
        <f t="array" ref="H8">_xlfn.XLOOKUP(account.account[account_type],account.account.account_type[name],account.account.account_type[npl group name level 2])</f>
        <v>Neraca - Aktiva</v>
      </c>
      <c r="I8" s="23" t="str">
        <f t="array" ref="I8">_xlfn.XLOOKUP(account.account[account_type],account.account.account_type[name],account.account.account_type[npl group name level 3])</f>
        <v>Neraca - Aktiva - Piutang</v>
      </c>
      <c r="J8" s="23" t="str">
        <f t="shared" si="1"/>
        <v>11210010 Piutang Usaha</v>
      </c>
      <c r="K8" s="30" t="b">
        <v>1</v>
      </c>
      <c r="L8" s="30" t="b">
        <v>1</v>
      </c>
      <c r="M8" s="24"/>
      <c r="N8" s="24"/>
    </row>
    <row r="9">
      <c r="A9" s="20" t="s">
        <v>307</v>
      </c>
      <c r="B9" s="24">
        <v>8.0</v>
      </c>
      <c r="C9" s="25" t="s">
        <v>309</v>
      </c>
      <c r="D9" s="20" t="s">
        <v>310</v>
      </c>
      <c r="E9" s="21" t="s">
        <v>259</v>
      </c>
      <c r="F9" s="24"/>
      <c r="G9" s="24"/>
      <c r="H9" s="23" t="str">
        <f t="array" ref="H9">_xlfn.XLOOKUP(account.account[account_type],account.account.account_type[name],account.account.account_type[npl group name level 2])</f>
        <v>Neraca - Aktiva</v>
      </c>
      <c r="I9" s="23" t="str">
        <f t="array" ref="I9">_xlfn.XLOOKUP(account.account[account_type],account.account.account_type[name],account.account.account_type[npl group name level 3])</f>
        <v>Neraca - Aktiva - Piutang</v>
      </c>
      <c r="J9" s="23" t="str">
        <f t="shared" si="1"/>
        <v>11210011 Piutang Usaha (PoS)</v>
      </c>
      <c r="K9" s="30" t="b">
        <v>1</v>
      </c>
      <c r="L9" s="30" t="b">
        <v>1</v>
      </c>
      <c r="M9" s="24"/>
      <c r="N9" s="24"/>
    </row>
    <row r="10">
      <c r="A10" s="20" t="s">
        <v>326</v>
      </c>
      <c r="B10" s="24">
        <v>9.0</v>
      </c>
      <c r="C10" s="25" t="s">
        <v>328</v>
      </c>
      <c r="D10" s="20" t="s">
        <v>331</v>
      </c>
      <c r="E10" s="21" t="s">
        <v>259</v>
      </c>
      <c r="F10" s="24"/>
      <c r="G10" s="24"/>
      <c r="H10" s="23" t="str">
        <f t="array" ref="H10">_xlfn.XLOOKUP(account.account[account_type],account.account.account_type[name],account.account.account_type[npl group name level 2])</f>
        <v>Neraca - Aktiva</v>
      </c>
      <c r="I10" s="23" t="str">
        <f t="array" ref="I10">_xlfn.XLOOKUP(account.account[account_type],account.account.account_type[name],account.account.account_type[npl group name level 3])</f>
        <v>Neraca - Aktiva - Piutang</v>
      </c>
      <c r="J10" s="23" t="str">
        <f t="shared" si="1"/>
        <v>11210012 Piutang PPN</v>
      </c>
      <c r="K10" s="30" t="b">
        <v>1</v>
      </c>
      <c r="L10" s="30" t="b">
        <v>1</v>
      </c>
      <c r="M10" s="24"/>
      <c r="N10" s="24" t="s">
        <v>345</v>
      </c>
    </row>
    <row r="11">
      <c r="A11" s="20" t="s">
        <v>349</v>
      </c>
      <c r="B11" s="24">
        <v>10.0</v>
      </c>
      <c r="C11" s="25" t="s">
        <v>351</v>
      </c>
      <c r="D11" s="20" t="s">
        <v>353</v>
      </c>
      <c r="E11" s="21" t="s">
        <v>259</v>
      </c>
      <c r="F11" s="24"/>
      <c r="G11" s="24"/>
      <c r="H11" s="23" t="str">
        <f t="array" ref="H11">_xlfn.XLOOKUP(account.account[account_type],account.account.account_type[name],account.account.account_type[npl group name level 2])</f>
        <v>Neraca - Aktiva</v>
      </c>
      <c r="I11" s="23" t="str">
        <f t="array" ref="I11">_xlfn.XLOOKUP(account.account[account_type],account.account.account_type[name],account.account.account_type[npl group name level 3])</f>
        <v>Neraca - Aktiva - Piutang</v>
      </c>
      <c r="J11" s="23" t="str">
        <f t="shared" si="1"/>
        <v>11210013 Piutang STLG</v>
      </c>
      <c r="K11" s="30" t="b">
        <v>1</v>
      </c>
      <c r="L11" s="30" t="b">
        <v>1</v>
      </c>
      <c r="M11" s="24"/>
      <c r="N11" s="24" t="s">
        <v>364</v>
      </c>
    </row>
    <row r="12">
      <c r="A12" s="20" t="s">
        <v>365</v>
      </c>
      <c r="B12" s="24">
        <v>11.0</v>
      </c>
      <c r="C12" s="25" t="s">
        <v>366</v>
      </c>
      <c r="D12" s="20" t="s">
        <v>367</v>
      </c>
      <c r="E12" s="21" t="s">
        <v>259</v>
      </c>
      <c r="F12" s="24"/>
      <c r="G12" s="24"/>
      <c r="H12" s="23" t="str">
        <f t="array" ref="H12">_xlfn.XLOOKUP(account.account[account_type],account.account.account_type[name],account.account.account_type[npl group name level 2])</f>
        <v>Neraca - Aktiva</v>
      </c>
      <c r="I12" s="23" t="str">
        <f t="array" ref="I12">_xlfn.XLOOKUP(account.account[account_type],account.account.account_type[name],account.account.account_type[npl group name level 3])</f>
        <v>Neraca - Aktiva - Piutang</v>
      </c>
      <c r="J12" s="23" t="str">
        <f t="shared" si="1"/>
        <v>11210014 Piutang PPh 28A</v>
      </c>
      <c r="K12" s="30" t="b">
        <v>1</v>
      </c>
      <c r="L12" s="30" t="b">
        <v>1</v>
      </c>
      <c r="M12" s="24" t="s">
        <v>368</v>
      </c>
      <c r="N12" s="24"/>
    </row>
    <row r="13">
      <c r="A13" s="20" t="s">
        <v>369</v>
      </c>
      <c r="B13" s="24">
        <v>12.0</v>
      </c>
      <c r="C13" s="25" t="s">
        <v>370</v>
      </c>
      <c r="D13" s="20" t="s">
        <v>371</v>
      </c>
      <c r="E13" s="21" t="s">
        <v>150</v>
      </c>
      <c r="F13" s="24"/>
      <c r="G13" s="24"/>
      <c r="H13" s="23" t="str">
        <f t="array" ref="H13">_xlfn.XLOOKUP(account.account[account_type],account.account.account_type[name],account.account.account_type[npl group name level 2])</f>
        <v>Neraca - Aktiva</v>
      </c>
      <c r="I13" s="23" t="str">
        <f t="array" ref="I13">_xlfn.XLOOKUP(account.account[account_type],account.account.account_type[name],account.account.account_type[npl group name level 3])</f>
        <v>Neraca - Aktiva - Aktiva Lancar</v>
      </c>
      <c r="J13" s="23" t="str">
        <f t="shared" si="1"/>
        <v>11210030 PPN Masukan</v>
      </c>
      <c r="K13" s="30" t="b">
        <v>1</v>
      </c>
      <c r="L13" s="30" t="b">
        <v>1</v>
      </c>
      <c r="M13" s="24"/>
      <c r="N13" s="24" t="s">
        <v>372</v>
      </c>
    </row>
    <row r="14">
      <c r="A14" s="20" t="s">
        <v>373</v>
      </c>
      <c r="B14" s="24">
        <v>13.0</v>
      </c>
      <c r="C14" s="25" t="s">
        <v>374</v>
      </c>
      <c r="D14" s="20" t="s">
        <v>375</v>
      </c>
      <c r="E14" s="21" t="s">
        <v>150</v>
      </c>
      <c r="F14" s="24"/>
      <c r="G14" s="24"/>
      <c r="H14" s="23" t="str">
        <f t="array" ref="H14">_xlfn.XLOOKUP(account.account[account_type],account.account.account_type[name],account.account.account_type[npl group name level 2])</f>
        <v>Neraca - Aktiva</v>
      </c>
      <c r="I14" s="23" t="str">
        <f t="array" ref="I14">_xlfn.XLOOKUP(account.account[account_type],account.account.account_type[name],account.account.account_type[npl group name level 3])</f>
        <v>Neraca - Aktiva - Aktiva Lancar</v>
      </c>
      <c r="J14" s="23" t="str">
        <f t="shared" si="1"/>
        <v>11210040 Beban Dibayar Dimuka</v>
      </c>
      <c r="K14" s="30" t="b">
        <v>1</v>
      </c>
      <c r="L14" s="30" t="b">
        <v>1</v>
      </c>
      <c r="M14" s="24" t="s">
        <v>376</v>
      </c>
      <c r="N14" s="24"/>
    </row>
    <row r="15">
      <c r="A15" s="20" t="s">
        <v>377</v>
      </c>
      <c r="B15" s="24">
        <v>14.0</v>
      </c>
      <c r="C15" s="25" t="s">
        <v>378</v>
      </c>
      <c r="D15" s="20" t="s">
        <v>379</v>
      </c>
      <c r="E15" s="21" t="s">
        <v>150</v>
      </c>
      <c r="F15" s="24"/>
      <c r="G15" s="24"/>
      <c r="H15" s="23" t="str">
        <f t="array" ref="H15">_xlfn.XLOOKUP(account.account[account_type],account.account.account_type[name],account.account.account_type[npl group name level 2])</f>
        <v>Neraca - Aktiva</v>
      </c>
      <c r="I15" s="23" t="str">
        <f t="array" ref="I15">_xlfn.XLOOKUP(account.account[account_type],account.account.account_type[name],account.account.account_type[npl group name level 3])</f>
        <v>Neraca - Aktiva - Aktiva Lancar</v>
      </c>
      <c r="J15" s="23" t="str">
        <f t="shared" si="1"/>
        <v>11300180 Persediaan Lainnya</v>
      </c>
      <c r="K15" s="30" t="b">
        <v>1</v>
      </c>
      <c r="L15" s="30" t="b">
        <v>1</v>
      </c>
      <c r="M15" s="24"/>
      <c r="N15" s="24"/>
    </row>
    <row r="16">
      <c r="A16" s="20" t="s">
        <v>380</v>
      </c>
      <c r="B16" s="24">
        <v>15.0</v>
      </c>
      <c r="C16" s="25" t="s">
        <v>381</v>
      </c>
      <c r="D16" s="20" t="s">
        <v>382</v>
      </c>
      <c r="E16" s="21" t="s">
        <v>299</v>
      </c>
      <c r="F16" s="24"/>
      <c r="G16" s="24"/>
      <c r="H16" s="23" t="str">
        <f t="array" ref="H16">_xlfn.XLOOKUP(account.account[account_type],account.account.account_type[name],account.account.account_type[npl group name level 2])</f>
        <v>Neraca - Aktiva</v>
      </c>
      <c r="I16" s="23" t="str">
        <f t="array" ref="I16">_xlfn.XLOOKUP(account.account[account_type],account.account.account_type[name],account.account.account_type[npl group name level 3])</f>
        <v>Neraca - Aktiva - Prabayar</v>
      </c>
      <c r="J16" s="23" t="str">
        <f t="shared" si="1"/>
        <v>11410010 Sewa Bangunan</v>
      </c>
      <c r="K16" s="30" t="b">
        <v>1</v>
      </c>
      <c r="L16" s="30" t="b">
        <v>1</v>
      </c>
      <c r="M16" s="24"/>
      <c r="N16" s="24"/>
    </row>
    <row r="17">
      <c r="A17" s="20" t="s">
        <v>383</v>
      </c>
      <c r="B17" s="24">
        <v>16.0</v>
      </c>
      <c r="C17" s="25" t="s">
        <v>384</v>
      </c>
      <c r="D17" s="20" t="s">
        <v>385</v>
      </c>
      <c r="E17" s="21" t="s">
        <v>299</v>
      </c>
      <c r="F17" s="24"/>
      <c r="G17" s="24"/>
      <c r="H17" s="23" t="str">
        <f t="array" ref="H17">_xlfn.XLOOKUP(account.account[account_type],account.account.account_type[name],account.account.account_type[npl group name level 2])</f>
        <v>Neraca - Aktiva</v>
      </c>
      <c r="I17" s="23" t="str">
        <f t="array" ref="I17">_xlfn.XLOOKUP(account.account[account_type],account.account.account_type[name],account.account.account_type[npl group name level 3])</f>
        <v>Neraca - Aktiva - Prabayar</v>
      </c>
      <c r="J17" s="23" t="str">
        <f t="shared" si="1"/>
        <v>11410020 Asuransi Dibayar Dimuka</v>
      </c>
      <c r="K17" s="30" t="b">
        <v>1</v>
      </c>
      <c r="L17" s="30" t="b">
        <v>1</v>
      </c>
      <c r="M17" s="24"/>
      <c r="N17" s="24"/>
    </row>
    <row r="18">
      <c r="A18" s="20" t="s">
        <v>386</v>
      </c>
      <c r="B18" s="24">
        <v>17.0</v>
      </c>
      <c r="C18" s="25" t="s">
        <v>387</v>
      </c>
      <c r="D18" s="20" t="s">
        <v>388</v>
      </c>
      <c r="E18" s="21" t="s">
        <v>299</v>
      </c>
      <c r="F18" s="24"/>
      <c r="G18" s="24"/>
      <c r="H18" s="23" t="str">
        <f t="array" ref="H18">_xlfn.XLOOKUP(account.account[account_type],account.account.account_type[name],account.account.account_type[npl group name level 2])</f>
        <v>Neraca - Aktiva</v>
      </c>
      <c r="I18" s="23" t="str">
        <f t="array" ref="I18">_xlfn.XLOOKUP(account.account[account_type],account.account.account_type[name],account.account.account_type[npl group name level 3])</f>
        <v>Neraca - Aktiva - Prabayar</v>
      </c>
      <c r="J18" s="23" t="str">
        <f t="shared" si="1"/>
        <v>11410030 Beban Iklan Dibayar Dimuka</v>
      </c>
      <c r="K18" s="30" t="b">
        <v>1</v>
      </c>
      <c r="L18" s="30" t="b">
        <v>1</v>
      </c>
      <c r="M18" s="24"/>
      <c r="N18" s="24"/>
    </row>
    <row r="19">
      <c r="A19" s="20" t="s">
        <v>389</v>
      </c>
      <c r="B19" s="24">
        <v>18.0</v>
      </c>
      <c r="C19" s="25" t="s">
        <v>390</v>
      </c>
      <c r="D19" s="20" t="s">
        <v>391</v>
      </c>
      <c r="E19" s="21" t="s">
        <v>299</v>
      </c>
      <c r="F19" s="24"/>
      <c r="G19" s="24"/>
      <c r="H19" s="23" t="str">
        <f t="array" ref="H19">_xlfn.XLOOKUP(account.account[account_type],account.account.account_type[name],account.account.account_type[npl group name level 2])</f>
        <v>Neraca - Aktiva</v>
      </c>
      <c r="I19" s="23" t="str">
        <f t="array" ref="I19">_xlfn.XLOOKUP(account.account[account_type],account.account.account_type[name],account.account.account_type[npl group name level 3])</f>
        <v>Neraca - Aktiva - Prabayar</v>
      </c>
      <c r="J19" s="23" t="str">
        <f t="shared" si="1"/>
        <v>11510010 PPH 21 Dibayar Dimuka</v>
      </c>
      <c r="K19" s="30" t="b">
        <v>1</v>
      </c>
      <c r="L19" s="30" t="b">
        <v>1</v>
      </c>
      <c r="M19" s="24" t="s">
        <v>392</v>
      </c>
      <c r="N19" s="24"/>
    </row>
    <row r="20">
      <c r="A20" s="20" t="s">
        <v>393</v>
      </c>
      <c r="B20" s="24">
        <v>19.0</v>
      </c>
      <c r="C20" s="25" t="s">
        <v>394</v>
      </c>
      <c r="D20" s="20" t="s">
        <v>395</v>
      </c>
      <c r="E20" s="21" t="s">
        <v>299</v>
      </c>
      <c r="F20" s="24"/>
      <c r="G20" s="24"/>
      <c r="H20" s="23" t="str">
        <f t="array" ref="H20">_xlfn.XLOOKUP(account.account[account_type],account.account.account_type[name],account.account.account_type[npl group name level 2])</f>
        <v>Neraca - Aktiva</v>
      </c>
      <c r="I20" s="23" t="str">
        <f t="array" ref="I20">_xlfn.XLOOKUP(account.account[account_type],account.account.account_type[name],account.account.account_type[npl group name level 3])</f>
        <v>Neraca - Aktiva - Prabayar</v>
      </c>
      <c r="J20" s="23" t="str">
        <f t="shared" si="1"/>
        <v>11510020 PPH 22 Dibayar Dimuka</v>
      </c>
      <c r="K20" s="30" t="b">
        <v>1</v>
      </c>
      <c r="L20" s="30" t="b">
        <v>1</v>
      </c>
      <c r="M20" s="24"/>
      <c r="N20" s="24"/>
    </row>
    <row r="21">
      <c r="A21" s="20" t="s">
        <v>396</v>
      </c>
      <c r="B21" s="24">
        <v>20.0</v>
      </c>
      <c r="C21" s="25" t="s">
        <v>397</v>
      </c>
      <c r="D21" s="20" t="s">
        <v>398</v>
      </c>
      <c r="E21" s="21" t="s">
        <v>299</v>
      </c>
      <c r="F21" s="24"/>
      <c r="G21" s="24"/>
      <c r="H21" s="23" t="str">
        <f t="array" ref="H21">_xlfn.XLOOKUP(account.account[account_type],account.account.account_type[name],account.account.account_type[npl group name level 2])</f>
        <v>Neraca - Aktiva</v>
      </c>
      <c r="I21" s="23" t="str">
        <f t="array" ref="I21">_xlfn.XLOOKUP(account.account[account_type],account.account.account_type[name],account.account.account_type[npl group name level 3])</f>
        <v>Neraca - Aktiva - Prabayar</v>
      </c>
      <c r="J21" s="23" t="str">
        <f t="shared" si="1"/>
        <v>11510030 PPH 23 Dibayar Dimuka</v>
      </c>
      <c r="K21" s="30" t="b">
        <v>1</v>
      </c>
      <c r="L21" s="30" t="b">
        <v>1</v>
      </c>
      <c r="M21" s="24"/>
      <c r="N21" s="24"/>
    </row>
    <row r="22">
      <c r="A22" s="20" t="s">
        <v>399</v>
      </c>
      <c r="B22" s="24">
        <v>21.0</v>
      </c>
      <c r="C22" s="25" t="s">
        <v>400</v>
      </c>
      <c r="D22" s="20" t="s">
        <v>401</v>
      </c>
      <c r="E22" s="21" t="s">
        <v>299</v>
      </c>
      <c r="F22" s="24"/>
      <c r="G22" s="24"/>
      <c r="H22" s="23" t="str">
        <f t="array" ref="H22">_xlfn.XLOOKUP(account.account[account_type],account.account.account_type[name],account.account.account_type[npl group name level 2])</f>
        <v>Neraca - Aktiva</v>
      </c>
      <c r="I22" s="23" t="str">
        <f t="array" ref="I22">_xlfn.XLOOKUP(account.account[account_type],account.account.account_type[name],account.account.account_type[npl group name level 3])</f>
        <v>Neraca - Aktiva - Prabayar</v>
      </c>
      <c r="J22" s="23" t="str">
        <f t="shared" si="1"/>
        <v>11510040 PPH 25 Dibayar Dimuka</v>
      </c>
      <c r="K22" s="30" t="b">
        <v>1</v>
      </c>
      <c r="L22" s="30" t="b">
        <v>1</v>
      </c>
      <c r="M22" s="24"/>
      <c r="N22" s="24"/>
    </row>
    <row r="23">
      <c r="A23" s="20" t="s">
        <v>402</v>
      </c>
      <c r="B23" s="24">
        <v>22.0</v>
      </c>
      <c r="C23" s="25" t="s">
        <v>403</v>
      </c>
      <c r="D23" s="20" t="s">
        <v>404</v>
      </c>
      <c r="E23" s="21" t="s">
        <v>299</v>
      </c>
      <c r="F23" s="24"/>
      <c r="G23" s="24"/>
      <c r="H23" s="23" t="str">
        <f t="array" ref="H23">_xlfn.XLOOKUP(account.account[account_type],account.account.account_type[name],account.account.account_type[npl group name level 2])</f>
        <v>Neraca - Aktiva</v>
      </c>
      <c r="I23" s="23" t="str">
        <f t="array" ref="I23">_xlfn.XLOOKUP(account.account[account_type],account.account.account_type[name],account.account.account_type[npl group name level 3])</f>
        <v>Neraca - Aktiva - Prabayar</v>
      </c>
      <c r="J23" s="23" t="str">
        <f t="shared" si="1"/>
        <v>11800000 Uang Muka Pembelian</v>
      </c>
      <c r="K23" s="30" t="b">
        <v>1</v>
      </c>
      <c r="L23" s="30" t="b">
        <v>1</v>
      </c>
      <c r="M23" s="24"/>
      <c r="N23" s="24"/>
    </row>
    <row r="24">
      <c r="A24" s="20" t="s">
        <v>405</v>
      </c>
      <c r="B24" s="24">
        <v>23.0</v>
      </c>
      <c r="C24" s="25" t="s">
        <v>406</v>
      </c>
      <c r="D24" s="20" t="s">
        <v>158</v>
      </c>
      <c r="E24" s="21" t="s">
        <v>301</v>
      </c>
      <c r="F24" s="24"/>
      <c r="G24" s="24"/>
      <c r="H24" s="23" t="str">
        <f t="array" ref="H24">_xlfn.XLOOKUP(account.account[account_type],account.account.account_type[name],account.account.account_type[npl group name level 2])</f>
        <v>Neraca - Aktiva</v>
      </c>
      <c r="I24" s="23" t="str">
        <f t="array" ref="I24">_xlfn.XLOOKUP(account.account[account_type],account.account.account_type[name],account.account.account_type[npl group name level 3])</f>
        <v>Neraca - Aktiva - Aktiva Tetap</v>
      </c>
      <c r="J24" s="23" t="str">
        <f t="shared" si="1"/>
        <v>12210010 Bangunan Kantor</v>
      </c>
      <c r="K24" s="30" t="b">
        <v>1</v>
      </c>
      <c r="L24" s="30" t="b">
        <v>1</v>
      </c>
      <c r="M24" s="24"/>
      <c r="N24" s="24"/>
    </row>
    <row r="25">
      <c r="A25" s="20" t="s">
        <v>407</v>
      </c>
      <c r="B25" s="24">
        <v>24.0</v>
      </c>
      <c r="C25" s="25" t="s">
        <v>408</v>
      </c>
      <c r="D25" s="20" t="s">
        <v>184</v>
      </c>
      <c r="E25" s="21" t="s">
        <v>301</v>
      </c>
      <c r="F25" s="24"/>
      <c r="G25" s="24"/>
      <c r="H25" s="23" t="str">
        <f t="array" ref="H25">_xlfn.XLOOKUP(account.account[account_type],account.account.account_type[name],account.account.account_type[npl group name level 2])</f>
        <v>Neraca - Aktiva</v>
      </c>
      <c r="I25" s="23" t="str">
        <f t="array" ref="I25">_xlfn.XLOOKUP(account.account[account_type],account.account.account_type[name],account.account.account_type[npl group name level 3])</f>
        <v>Neraca - Aktiva - Aktiva Tetap</v>
      </c>
      <c r="J25" s="23" t="str">
        <f t="shared" si="1"/>
        <v>12210020 Kendaraan</v>
      </c>
      <c r="K25" s="30" t="b">
        <v>1</v>
      </c>
      <c r="L25" s="30" t="b">
        <v>1</v>
      </c>
      <c r="M25" s="24"/>
      <c r="N25" s="24"/>
    </row>
    <row r="26">
      <c r="A26" s="20" t="s">
        <v>409</v>
      </c>
      <c r="B26" s="24">
        <v>25.0</v>
      </c>
      <c r="C26" s="25" t="s">
        <v>410</v>
      </c>
      <c r="D26" s="20" t="s">
        <v>209</v>
      </c>
      <c r="E26" s="21" t="s">
        <v>301</v>
      </c>
      <c r="F26" s="24"/>
      <c r="G26" s="24"/>
      <c r="H26" s="23" t="str">
        <f t="array" ref="H26">_xlfn.XLOOKUP(account.account[account_type],account.account.account_type[name],account.account.account_type[npl group name level 2])</f>
        <v>Neraca - Aktiva</v>
      </c>
      <c r="I26" s="23" t="str">
        <f t="array" ref="I26">_xlfn.XLOOKUP(account.account[account_type],account.account.account_type[name],account.account.account_type[npl group name level 3])</f>
        <v>Neraca - Aktiva - Aktiva Tetap</v>
      </c>
      <c r="J26" s="23" t="str">
        <f t="shared" si="1"/>
        <v>12210030 Peralatan Kantor</v>
      </c>
      <c r="K26" s="30" t="b">
        <v>1</v>
      </c>
      <c r="L26" s="30" t="b">
        <v>1</v>
      </c>
      <c r="M26" s="24"/>
      <c r="N26" s="24"/>
    </row>
    <row r="27">
      <c r="A27" s="20" t="s">
        <v>411</v>
      </c>
      <c r="B27" s="24">
        <v>26.0</v>
      </c>
      <c r="C27" s="25" t="s">
        <v>412</v>
      </c>
      <c r="D27" s="20" t="s">
        <v>413</v>
      </c>
      <c r="E27" s="21" t="s">
        <v>301</v>
      </c>
      <c r="F27" s="24"/>
      <c r="G27" s="24"/>
      <c r="H27" s="23" t="str">
        <f t="array" ref="H27">_xlfn.XLOOKUP(account.account[account_type],account.account.account_type[name],account.account.account_type[npl group name level 2])</f>
        <v>Neraca - Aktiva</v>
      </c>
      <c r="I27" s="23" t="str">
        <f t="array" ref="I27">_xlfn.XLOOKUP(account.account[account_type],account.account.account_type[name],account.account.account_type[npl group name level 3])</f>
        <v>Neraca - Aktiva - Aktiva Tetap</v>
      </c>
      <c r="J27" s="23" t="str">
        <f t="shared" si="1"/>
        <v>12281010 Akumulasi Penyusutan Bangunan Kantor</v>
      </c>
      <c r="K27" s="30" t="b">
        <v>1</v>
      </c>
      <c r="L27" s="30" t="b">
        <v>1</v>
      </c>
      <c r="M27" s="24"/>
      <c r="N27" s="24"/>
    </row>
    <row r="28">
      <c r="A28" s="20" t="s">
        <v>414</v>
      </c>
      <c r="B28" s="24">
        <v>27.0</v>
      </c>
      <c r="C28" s="25" t="s">
        <v>415</v>
      </c>
      <c r="D28" s="20" t="s">
        <v>416</v>
      </c>
      <c r="E28" s="21" t="s">
        <v>301</v>
      </c>
      <c r="F28" s="24"/>
      <c r="G28" s="24"/>
      <c r="H28" s="23" t="str">
        <f t="array" ref="H28">_xlfn.XLOOKUP(account.account[account_type],account.account.account_type[name],account.account.account_type[npl group name level 2])</f>
        <v>Neraca - Aktiva</v>
      </c>
      <c r="I28" s="23" t="str">
        <f t="array" ref="I28">_xlfn.XLOOKUP(account.account[account_type],account.account.account_type[name],account.account.account_type[npl group name level 3])</f>
        <v>Neraca - Aktiva - Aktiva Tetap</v>
      </c>
      <c r="J28" s="23" t="str">
        <f t="shared" si="1"/>
        <v>12281020 Akumulasi Penyusutan Kendaraan</v>
      </c>
      <c r="K28" s="30" t="b">
        <v>1</v>
      </c>
      <c r="L28" s="30" t="b">
        <v>1</v>
      </c>
      <c r="M28" s="24"/>
      <c r="N28" s="24"/>
    </row>
    <row r="29">
      <c r="A29" s="20" t="s">
        <v>417</v>
      </c>
      <c r="B29" s="24">
        <v>28.0</v>
      </c>
      <c r="C29" s="25" t="s">
        <v>418</v>
      </c>
      <c r="D29" s="20" t="s">
        <v>419</v>
      </c>
      <c r="E29" s="21" t="s">
        <v>301</v>
      </c>
      <c r="F29" s="24"/>
      <c r="G29" s="24"/>
      <c r="H29" s="23" t="str">
        <f t="array" ref="H29">_xlfn.XLOOKUP(account.account[account_type],account.account.account_type[name],account.account.account_type[npl group name level 2])</f>
        <v>Neraca - Aktiva</v>
      </c>
      <c r="I29" s="23" t="str">
        <f t="array" ref="I29">_xlfn.XLOOKUP(account.account[account_type],account.account.account_type[name],account.account.account_type[npl group name level 3])</f>
        <v>Neraca - Aktiva - Aktiva Tetap</v>
      </c>
      <c r="J29" s="23" t="str">
        <f t="shared" si="1"/>
        <v>12281030 Akumulasi Penyusutan Peralatan Kantor</v>
      </c>
      <c r="K29" s="30" t="b">
        <v>1</v>
      </c>
      <c r="L29" s="30" t="b">
        <v>1</v>
      </c>
      <c r="M29" s="24"/>
      <c r="N29" s="24"/>
    </row>
    <row r="30">
      <c r="A30" s="20" t="s">
        <v>420</v>
      </c>
      <c r="B30" s="24">
        <v>29.0</v>
      </c>
      <c r="C30" s="25" t="s">
        <v>421</v>
      </c>
      <c r="D30" s="20" t="s">
        <v>422</v>
      </c>
      <c r="E30" s="21" t="s">
        <v>150</v>
      </c>
      <c r="F30" s="24"/>
      <c r="G30" s="24"/>
      <c r="H30" s="23" t="str">
        <f t="array" ref="H30">_xlfn.XLOOKUP(account.account[account_type],account.account.account_type[name],account.account.account_type[npl group name level 2])</f>
        <v>Neraca - Aktiva</v>
      </c>
      <c r="I30" s="23" t="str">
        <f t="array" ref="I30">_xlfn.XLOOKUP(account.account[account_type],account.account.account_type[name],account.account.account_type[npl group name level 3])</f>
        <v>Neraca - Aktiva - Aktiva Lancar</v>
      </c>
      <c r="J30" s="23" t="str">
        <f t="shared" si="1"/>
        <v>19999991 Liquidity Transfer</v>
      </c>
      <c r="K30" s="30" t="b">
        <v>1</v>
      </c>
      <c r="L30" s="30" t="b">
        <v>1</v>
      </c>
      <c r="M30" s="24"/>
      <c r="N30" s="24"/>
    </row>
    <row r="31">
      <c r="A31" s="20" t="s">
        <v>423</v>
      </c>
      <c r="B31" s="24">
        <v>30.0</v>
      </c>
      <c r="C31" s="25" t="s">
        <v>424</v>
      </c>
      <c r="D31" s="20" t="s">
        <v>425</v>
      </c>
      <c r="E31" s="21" t="s">
        <v>303</v>
      </c>
      <c r="F31" s="24"/>
      <c r="G31" s="24"/>
      <c r="H31" s="23" t="str">
        <f t="array" ref="H31">_xlfn.XLOOKUP(account.account[account_type],account.account.account_type[name],account.account.account_type[npl group name level 2])</f>
        <v>Neraca - Liabilitas</v>
      </c>
      <c r="I31" s="23" t="str">
        <f t="array" ref="I31">_xlfn.XLOOKUP(account.account[account_type],account.account.account_type[name],account.account.account_type[npl group name level 3])</f>
        <v>Neraca - Liabilitas - Utang</v>
      </c>
      <c r="J31" s="23" t="str">
        <f t="shared" si="1"/>
        <v>21100010 Hutang Usaha</v>
      </c>
      <c r="K31" s="30" t="b">
        <v>1</v>
      </c>
      <c r="L31" s="30" t="b">
        <v>1</v>
      </c>
      <c r="M31" s="24"/>
      <c r="N31" s="24"/>
    </row>
    <row r="32">
      <c r="A32" s="20" t="s">
        <v>426</v>
      </c>
      <c r="B32" s="24">
        <v>31.0</v>
      </c>
      <c r="C32" s="25" t="s">
        <v>427</v>
      </c>
      <c r="D32" s="20" t="s">
        <v>428</v>
      </c>
      <c r="E32" s="21" t="s">
        <v>303</v>
      </c>
      <c r="F32" s="24"/>
      <c r="G32" s="24"/>
      <c r="H32" s="23" t="str">
        <f t="array" ref="H32">_xlfn.XLOOKUP(account.account[account_type],account.account.account_type[name],account.account.account_type[npl group name level 2])</f>
        <v>Neraca - Liabilitas</v>
      </c>
      <c r="I32" s="23" t="str">
        <f t="array" ref="I32">_xlfn.XLOOKUP(account.account[account_type],account.account.account_type[name],account.account.account_type[npl group name level 3])</f>
        <v>Neraca - Liabilitas - Utang</v>
      </c>
      <c r="J32" s="23" t="str">
        <f t="shared" si="1"/>
        <v>21100011 Hutang PPN</v>
      </c>
      <c r="K32" s="30" t="b">
        <v>1</v>
      </c>
      <c r="L32" s="30" t="b">
        <v>1</v>
      </c>
      <c r="M32" s="24"/>
      <c r="N32" s="24" t="s">
        <v>429</v>
      </c>
    </row>
    <row r="33">
      <c r="A33" s="20" t="s">
        <v>430</v>
      </c>
      <c r="B33" s="24">
        <v>32.0</v>
      </c>
      <c r="C33" s="25" t="s">
        <v>431</v>
      </c>
      <c r="D33" s="20" t="s">
        <v>432</v>
      </c>
      <c r="E33" s="21" t="s">
        <v>303</v>
      </c>
      <c r="F33" s="24"/>
      <c r="G33" s="24"/>
      <c r="H33" s="23" t="str">
        <f t="array" ref="H33">_xlfn.XLOOKUP(account.account[account_type],account.account.account_type[name],account.account.account_type[npl group name level 2])</f>
        <v>Neraca - Liabilitas</v>
      </c>
      <c r="I33" s="23" t="str">
        <f t="array" ref="I33">_xlfn.XLOOKUP(account.account[account_type],account.account.account_type[name],account.account.account_type[npl group name level 3])</f>
        <v>Neraca - Liabilitas - Utang</v>
      </c>
      <c r="J33" s="23" t="str">
        <f t="shared" si="1"/>
        <v>21100012 Hutang PPnBM</v>
      </c>
      <c r="K33" s="30" t="b">
        <v>1</v>
      </c>
      <c r="L33" s="30" t="b">
        <v>1</v>
      </c>
      <c r="M33" s="24" t="s">
        <v>433</v>
      </c>
      <c r="N33" s="24"/>
    </row>
    <row r="34">
      <c r="A34" s="20" t="s">
        <v>434</v>
      </c>
      <c r="B34" s="24">
        <v>33.0</v>
      </c>
      <c r="C34" s="25" t="s">
        <v>435</v>
      </c>
      <c r="D34" s="20" t="s">
        <v>436</v>
      </c>
      <c r="E34" s="21" t="s">
        <v>311</v>
      </c>
      <c r="F34" s="24"/>
      <c r="G34" s="24"/>
      <c r="H34" s="23" t="str">
        <f t="array" ref="H34">_xlfn.XLOOKUP(account.account[account_type],account.account.account_type[name],account.account.account_type[npl group name level 2])</f>
        <v>Neraca - Liabilitas</v>
      </c>
      <c r="I34" s="23" t="str">
        <f t="array" ref="I34">_xlfn.XLOOKUP(account.account[account_type],account.account.account_type[name],account.account.account_type[npl group name level 3])</f>
        <v>Neraca - Liabilitas - Pasiva Terkini</v>
      </c>
      <c r="J34" s="23" t="str">
        <f t="shared" si="1"/>
        <v>21100013 Piutang Karyawan</v>
      </c>
      <c r="K34" s="30" t="b">
        <v>1</v>
      </c>
      <c r="L34" s="30" t="b">
        <v>1</v>
      </c>
      <c r="M34" s="24"/>
      <c r="N34" s="24"/>
    </row>
    <row r="35">
      <c r="A35" s="20" t="s">
        <v>437</v>
      </c>
      <c r="B35" s="24">
        <v>34.0</v>
      </c>
      <c r="C35" s="25" t="s">
        <v>438</v>
      </c>
      <c r="D35" s="20" t="s">
        <v>439</v>
      </c>
      <c r="E35" s="21" t="s">
        <v>303</v>
      </c>
      <c r="F35" s="24"/>
      <c r="G35" s="24"/>
      <c r="H35" s="23" t="str">
        <f t="array" ref="H35">_xlfn.XLOOKUP(account.account[account_type],account.account.account_type[name],account.account.account_type[npl group name level 2])</f>
        <v>Neraca - Liabilitas</v>
      </c>
      <c r="I35" s="23" t="str">
        <f t="array" ref="I35">_xlfn.XLOOKUP(account.account[account_type],account.account.account_type[name],account.account.account_type[npl group name level 3])</f>
        <v>Neraca - Liabilitas - Utang</v>
      </c>
      <c r="J35" s="23" t="str">
        <f t="shared" si="1"/>
        <v>21100014 Hutang Pajak PPh 29</v>
      </c>
      <c r="K35" s="30" t="b">
        <v>1</v>
      </c>
      <c r="L35" s="30" t="b">
        <v>1</v>
      </c>
      <c r="M35" s="24" t="s">
        <v>440</v>
      </c>
      <c r="N35" s="24"/>
    </row>
    <row r="36">
      <c r="A36" s="20" t="s">
        <v>441</v>
      </c>
      <c r="B36" s="24">
        <v>35.0</v>
      </c>
      <c r="C36" s="25" t="s">
        <v>442</v>
      </c>
      <c r="D36" s="20" t="s">
        <v>443</v>
      </c>
      <c r="E36" s="21" t="s">
        <v>311</v>
      </c>
      <c r="F36" s="24"/>
      <c r="G36" s="24"/>
      <c r="H36" s="23" t="str">
        <f t="array" ref="H36">_xlfn.XLOOKUP(account.account[account_type],account.account.account_type[name],account.account.account_type[npl group name level 2])</f>
        <v>Neraca - Liabilitas</v>
      </c>
      <c r="I36" s="23" t="str">
        <f t="array" ref="I36">_xlfn.XLOOKUP(account.account[account_type],account.account.account_type[name],account.account.account_type[npl group name level 3])</f>
        <v>Neraca - Liabilitas - Pasiva Terkini</v>
      </c>
      <c r="J36" s="23" t="str">
        <f t="shared" si="1"/>
        <v>21100020 Hutang Pemegang Saham</v>
      </c>
      <c r="K36" s="30" t="b">
        <v>1</v>
      </c>
      <c r="L36" s="30" t="b">
        <v>1</v>
      </c>
      <c r="M36" s="24"/>
      <c r="N36" s="24"/>
    </row>
    <row r="37">
      <c r="A37" s="20" t="s">
        <v>444</v>
      </c>
      <c r="B37" s="24">
        <v>36.0</v>
      </c>
      <c r="C37" s="25" t="s">
        <v>445</v>
      </c>
      <c r="D37" s="20" t="s">
        <v>446</v>
      </c>
      <c r="E37" s="21" t="s">
        <v>311</v>
      </c>
      <c r="F37" s="24"/>
      <c r="G37" s="24"/>
      <c r="H37" s="23" t="str">
        <f t="array" ref="H37">_xlfn.XLOOKUP(account.account[account_type],account.account.account_type[name],account.account.account_type[npl group name level 2])</f>
        <v>Neraca - Liabilitas</v>
      </c>
      <c r="I37" s="23" t="str">
        <f t="array" ref="I37">_xlfn.XLOOKUP(account.account[account_type],account.account.account_type[name],account.account.account_type[npl group name level 3])</f>
        <v>Neraca - Liabilitas - Pasiva Terkini</v>
      </c>
      <c r="J37" s="23" t="str">
        <f t="shared" si="1"/>
        <v>21100030 Hutang Pihak Ketiga</v>
      </c>
      <c r="K37" s="30" t="b">
        <v>1</v>
      </c>
      <c r="L37" s="30" t="b">
        <v>1</v>
      </c>
      <c r="M37" s="24"/>
      <c r="N37" s="24"/>
    </row>
    <row r="38">
      <c r="A38" s="20" t="s">
        <v>447</v>
      </c>
      <c r="B38" s="24">
        <v>37.0</v>
      </c>
      <c r="C38" s="25" t="s">
        <v>448</v>
      </c>
      <c r="D38" s="20" t="s">
        <v>449</v>
      </c>
      <c r="E38" s="21" t="s">
        <v>311</v>
      </c>
      <c r="F38" s="24"/>
      <c r="G38" s="24"/>
      <c r="H38" s="23" t="str">
        <f t="array" ref="H38">_xlfn.XLOOKUP(account.account[account_type],account.account.account_type[name],account.account.account_type[npl group name level 2])</f>
        <v>Neraca - Liabilitas</v>
      </c>
      <c r="I38" s="23" t="str">
        <f t="array" ref="I38">_xlfn.XLOOKUP(account.account[account_type],account.account.account_type[name],account.account.account_type[npl group name level 3])</f>
        <v>Neraca - Liabilitas - Pasiva Terkini</v>
      </c>
      <c r="J38" s="23" t="str">
        <f t="shared" si="1"/>
        <v>21100040 Hutang Gaji</v>
      </c>
      <c r="K38" s="30" t="b">
        <v>1</v>
      </c>
      <c r="L38" s="30" t="b">
        <v>1</v>
      </c>
      <c r="M38" s="24"/>
      <c r="N38" s="24"/>
    </row>
    <row r="39">
      <c r="A39" s="20" t="s">
        <v>450</v>
      </c>
      <c r="B39" s="24">
        <v>38.0</v>
      </c>
      <c r="C39" s="25" t="s">
        <v>451</v>
      </c>
      <c r="D39" s="20" t="s">
        <v>452</v>
      </c>
      <c r="E39" s="21" t="s">
        <v>311</v>
      </c>
      <c r="F39" s="24"/>
      <c r="G39" s="24"/>
      <c r="H39" s="23" t="str">
        <f t="array" ref="H39">_xlfn.XLOOKUP(account.account[account_type],account.account.account_type[name],account.account.account_type[npl group name level 2])</f>
        <v>Neraca - Liabilitas</v>
      </c>
      <c r="I39" s="23" t="str">
        <f t="array" ref="I39">_xlfn.XLOOKUP(account.account[account_type],account.account.account_type[name],account.account.account_type[npl group name level 3])</f>
        <v>Neraca - Liabilitas - Pasiva Terkini</v>
      </c>
      <c r="J39" s="23" t="str">
        <f t="shared" si="1"/>
        <v>21210010 Hutang Pajak PPh 21</v>
      </c>
      <c r="K39" s="30" t="b">
        <v>1</v>
      </c>
      <c r="L39" s="30" t="b">
        <v>1</v>
      </c>
      <c r="M39" s="24"/>
      <c r="N39" s="24"/>
    </row>
    <row r="40">
      <c r="A40" s="20" t="s">
        <v>453</v>
      </c>
      <c r="B40" s="24">
        <v>39.0</v>
      </c>
      <c r="C40" s="25" t="s">
        <v>454</v>
      </c>
      <c r="D40" s="20" t="s">
        <v>455</v>
      </c>
      <c r="E40" s="21" t="s">
        <v>311</v>
      </c>
      <c r="F40" s="24"/>
      <c r="G40" s="24"/>
      <c r="H40" s="23" t="str">
        <f t="array" ref="H40">_xlfn.XLOOKUP(account.account[account_type],account.account.account_type[name],account.account.account_type[npl group name level 2])</f>
        <v>Neraca - Liabilitas</v>
      </c>
      <c r="I40" s="23" t="str">
        <f t="array" ref="I40">_xlfn.XLOOKUP(account.account[account_type],account.account.account_type[name],account.account.account_type[npl group name level 3])</f>
        <v>Neraca - Liabilitas - Pasiva Terkini</v>
      </c>
      <c r="J40" s="23" t="str">
        <f t="shared" si="1"/>
        <v>21210020 Hutang Pajak PPh 22</v>
      </c>
      <c r="K40" s="30" t="b">
        <v>1</v>
      </c>
      <c r="L40" s="30" t="b">
        <v>1</v>
      </c>
      <c r="M40" s="24"/>
      <c r="N40" s="24"/>
    </row>
    <row r="41">
      <c r="A41" s="20" t="s">
        <v>456</v>
      </c>
      <c r="B41" s="24">
        <v>40.0</v>
      </c>
      <c r="C41" s="25" t="s">
        <v>457</v>
      </c>
      <c r="D41" s="20" t="s">
        <v>458</v>
      </c>
      <c r="E41" s="21" t="s">
        <v>311</v>
      </c>
      <c r="F41" s="24"/>
      <c r="G41" s="24"/>
      <c r="H41" s="23" t="str">
        <f t="array" ref="H41">_xlfn.XLOOKUP(account.account[account_type],account.account.account_type[name],account.account.account_type[npl group name level 2])</f>
        <v>Neraca - Liabilitas</v>
      </c>
      <c r="I41" s="23" t="str">
        <f t="array" ref="I41">_xlfn.XLOOKUP(account.account[account_type],account.account.account_type[name],account.account.account_type[npl group name level 3])</f>
        <v>Neraca - Liabilitas - Pasiva Terkini</v>
      </c>
      <c r="J41" s="23" t="str">
        <f t="shared" si="1"/>
        <v>21210030 Hutang Pajak PPh 23</v>
      </c>
      <c r="K41" s="30" t="b">
        <v>1</v>
      </c>
      <c r="L41" s="30" t="b">
        <v>1</v>
      </c>
      <c r="M41" s="24"/>
      <c r="N41" s="24"/>
    </row>
    <row r="42">
      <c r="A42" s="20" t="s">
        <v>459</v>
      </c>
      <c r="B42" s="24">
        <v>41.0</v>
      </c>
      <c r="C42" s="25" t="s">
        <v>460</v>
      </c>
      <c r="D42" s="20" t="s">
        <v>461</v>
      </c>
      <c r="E42" s="21" t="s">
        <v>311</v>
      </c>
      <c r="F42" s="24"/>
      <c r="G42" s="24"/>
      <c r="H42" s="23" t="str">
        <f t="array" ref="H42">_xlfn.XLOOKUP(account.account[account_type],account.account.account_type[name],account.account.account_type[npl group name level 2])</f>
        <v>Neraca - Liabilitas</v>
      </c>
      <c r="I42" s="23" t="str">
        <f t="array" ref="I42">_xlfn.XLOOKUP(account.account[account_type],account.account.account_type[name],account.account.account_type[npl group name level 3])</f>
        <v>Neraca - Liabilitas - Pasiva Terkini</v>
      </c>
      <c r="J42" s="23" t="str">
        <f t="shared" si="1"/>
        <v>21210040 Hutang Pajak PPh 25</v>
      </c>
      <c r="K42" s="30" t="b">
        <v>1</v>
      </c>
      <c r="L42" s="30" t="b">
        <v>1</v>
      </c>
      <c r="M42" s="24"/>
      <c r="N42" s="24"/>
    </row>
    <row r="43">
      <c r="A43" s="20" t="s">
        <v>462</v>
      </c>
      <c r="B43" s="24">
        <v>42.0</v>
      </c>
      <c r="C43" s="25" t="s">
        <v>463</v>
      </c>
      <c r="D43" s="20" t="s">
        <v>464</v>
      </c>
      <c r="E43" s="21" t="s">
        <v>311</v>
      </c>
      <c r="F43" s="24"/>
      <c r="G43" s="24"/>
      <c r="H43" s="23" t="str">
        <f t="array" ref="H43">_xlfn.XLOOKUP(account.account[account_type],account.account.account_type[name],account.account.account_type[npl group name level 2])</f>
        <v>Neraca - Liabilitas</v>
      </c>
      <c r="I43" s="23" t="str">
        <f t="array" ref="I43">_xlfn.XLOOKUP(account.account[account_type],account.account.account_type[name],account.account.account_type[npl group name level 3])</f>
        <v>Neraca - Liabilitas - Pasiva Terkini</v>
      </c>
      <c r="J43" s="23" t="str">
        <f t="shared" si="1"/>
        <v>21210050 Hutang Pajak Pasal 4 (2)</v>
      </c>
      <c r="K43" s="30" t="b">
        <v>1</v>
      </c>
      <c r="L43" s="30" t="b">
        <v>1</v>
      </c>
      <c r="M43" s="24"/>
      <c r="N43" s="24"/>
    </row>
    <row r="44">
      <c r="A44" s="20" t="s">
        <v>465</v>
      </c>
      <c r="B44" s="24">
        <v>43.0</v>
      </c>
      <c r="C44" s="25" t="s">
        <v>466</v>
      </c>
      <c r="D44" s="20" t="s">
        <v>467</v>
      </c>
      <c r="E44" s="21" t="s">
        <v>311</v>
      </c>
      <c r="F44" s="24"/>
      <c r="G44" s="24"/>
      <c r="H44" s="23" t="str">
        <f t="array" ref="H44">_xlfn.XLOOKUP(account.account[account_type],account.account.account_type[name],account.account.account_type[npl group name level 2])</f>
        <v>Neraca - Liabilitas</v>
      </c>
      <c r="I44" s="23" t="str">
        <f t="array" ref="I44">_xlfn.XLOOKUP(account.account[account_type],account.account.account_type[name],account.account.account_type[npl group name level 3])</f>
        <v>Neraca - Liabilitas - Pasiva Terkini</v>
      </c>
      <c r="J44" s="23" t="str">
        <f t="shared" si="1"/>
        <v>21210060 Hutang Pajak PPh 26</v>
      </c>
      <c r="K44" s="30" t="b">
        <v>1</v>
      </c>
      <c r="L44" s="30" t="b">
        <v>1</v>
      </c>
      <c r="M44" s="24"/>
      <c r="N44" s="24"/>
    </row>
    <row r="45">
      <c r="A45" s="20" t="s">
        <v>468</v>
      </c>
      <c r="B45" s="24">
        <v>44.0</v>
      </c>
      <c r="C45" s="25" t="s">
        <v>469</v>
      </c>
      <c r="D45" s="20" t="s">
        <v>470</v>
      </c>
      <c r="E45" s="21" t="s">
        <v>311</v>
      </c>
      <c r="F45" s="24"/>
      <c r="G45" s="24"/>
      <c r="H45" s="23" t="str">
        <f t="array" ref="H45">_xlfn.XLOOKUP(account.account[account_type],account.account.account_type[name],account.account.account_type[npl group name level 2])</f>
        <v>Neraca - Liabilitas</v>
      </c>
      <c r="I45" s="23" t="str">
        <f t="array" ref="I45">_xlfn.XLOOKUP(account.account[account_type],account.account.account_type[name],account.account.account_type[npl group name level 3])</f>
        <v>Neraca - Liabilitas - Pasiva Terkini</v>
      </c>
      <c r="J45" s="23" t="str">
        <f t="shared" si="1"/>
        <v>21221010 PPN Keluaran</v>
      </c>
      <c r="K45" s="30" t="b">
        <v>1</v>
      </c>
      <c r="L45" s="30" t="b">
        <v>1</v>
      </c>
      <c r="M45" s="24"/>
      <c r="N45" s="24" t="s">
        <v>471</v>
      </c>
    </row>
    <row r="46">
      <c r="A46" s="20" t="s">
        <v>472</v>
      </c>
      <c r="B46" s="24">
        <v>45.0</v>
      </c>
      <c r="C46" s="25" t="s">
        <v>473</v>
      </c>
      <c r="D46" s="20" t="s">
        <v>474</v>
      </c>
      <c r="E46" s="21" t="s">
        <v>311</v>
      </c>
      <c r="F46" s="24"/>
      <c r="G46" s="24"/>
      <c r="H46" s="23" t="str">
        <f t="array" ref="H46">_xlfn.XLOOKUP(account.account[account_type],account.account.account_type[name],account.account.account_type[npl group name level 2])</f>
        <v>Neraca - Liabilitas</v>
      </c>
      <c r="I46" s="23" t="str">
        <f t="array" ref="I46">_xlfn.XLOOKUP(account.account[account_type],account.account.account_type[name],account.account.account_type[npl group name level 3])</f>
        <v>Neraca - Liabilitas - Pasiva Terkini</v>
      </c>
      <c r="J46" s="23" t="str">
        <f t="shared" si="1"/>
        <v>22110010 Hutang Bank</v>
      </c>
      <c r="K46" s="30" t="b">
        <v>1</v>
      </c>
      <c r="L46" s="30" t="b">
        <v>1</v>
      </c>
      <c r="M46" s="24"/>
      <c r="N46" s="24"/>
    </row>
    <row r="47">
      <c r="A47" s="20" t="s">
        <v>475</v>
      </c>
      <c r="B47" s="24">
        <v>46.0</v>
      </c>
      <c r="C47" s="25" t="s">
        <v>476</v>
      </c>
      <c r="D47" s="20" t="s">
        <v>477</v>
      </c>
      <c r="E47" s="21" t="s">
        <v>311</v>
      </c>
      <c r="F47" s="24"/>
      <c r="G47" s="24"/>
      <c r="H47" s="23" t="str">
        <f t="array" ref="H47">_xlfn.XLOOKUP(account.account[account_type],account.account.account_type[name],account.account.account_type[npl group name level 2])</f>
        <v>Neraca - Liabilitas</v>
      </c>
      <c r="I47" s="23" t="str">
        <f t="array" ref="I47">_xlfn.XLOOKUP(account.account[account_type],account.account.account_type[name],account.account.account_type[npl group name level 3])</f>
        <v>Neraca - Liabilitas - Pasiva Terkini</v>
      </c>
      <c r="J47" s="23" t="str">
        <f t="shared" si="1"/>
        <v>22110020 Hutang Leasing</v>
      </c>
      <c r="K47" s="30" t="b">
        <v>1</v>
      </c>
      <c r="L47" s="30" t="b">
        <v>1</v>
      </c>
      <c r="M47" s="24"/>
      <c r="N47" s="24"/>
    </row>
    <row r="48">
      <c r="A48" s="20" t="s">
        <v>478</v>
      </c>
      <c r="B48" s="24">
        <v>47.0</v>
      </c>
      <c r="C48" s="25" t="s">
        <v>479</v>
      </c>
      <c r="D48" s="20" t="s">
        <v>480</v>
      </c>
      <c r="E48" s="21" t="s">
        <v>311</v>
      </c>
      <c r="F48" s="24"/>
      <c r="G48" s="24"/>
      <c r="H48" s="23" t="str">
        <f t="array" ref="H48">_xlfn.XLOOKUP(account.account[account_type],account.account.account_type[name],account.account.account_type[npl group name level 2])</f>
        <v>Neraca - Liabilitas</v>
      </c>
      <c r="I48" s="23" t="str">
        <f t="array" ref="I48">_xlfn.XLOOKUP(account.account[account_type],account.account.account_type[name],account.account.account_type[npl group name level 3])</f>
        <v>Neraca - Liabilitas - Pasiva Terkini</v>
      </c>
      <c r="J48" s="23" t="str">
        <f t="shared" si="1"/>
        <v>25110010 BYMHD Listrik</v>
      </c>
      <c r="K48" s="30" t="b">
        <v>1</v>
      </c>
      <c r="L48" s="30" t="b">
        <v>1</v>
      </c>
      <c r="M48" s="24"/>
      <c r="N48" s="24" t="s">
        <v>481</v>
      </c>
    </row>
    <row r="49">
      <c r="A49" s="20" t="s">
        <v>482</v>
      </c>
      <c r="B49" s="24">
        <v>48.0</v>
      </c>
      <c r="C49" s="25" t="s">
        <v>483</v>
      </c>
      <c r="D49" s="20" t="s">
        <v>484</v>
      </c>
      <c r="E49" s="21" t="s">
        <v>311</v>
      </c>
      <c r="F49" s="24"/>
      <c r="G49" s="24"/>
      <c r="H49" s="23" t="str">
        <f t="array" ref="H49">_xlfn.XLOOKUP(account.account[account_type],account.account.account_type[name],account.account.account_type[npl group name level 2])</f>
        <v>Neraca - Liabilitas</v>
      </c>
      <c r="I49" s="23" t="str">
        <f t="array" ref="I49">_xlfn.XLOOKUP(account.account[account_type],account.account.account_type[name],account.account.account_type[npl group name level 3])</f>
        <v>Neraca - Liabilitas - Pasiva Terkini</v>
      </c>
      <c r="J49" s="23" t="str">
        <f t="shared" si="1"/>
        <v>25110020 BYMHD Jamsostek</v>
      </c>
      <c r="K49" s="30" t="b">
        <v>1</v>
      </c>
      <c r="L49" s="30" t="b">
        <v>1</v>
      </c>
      <c r="M49" s="24"/>
      <c r="N49" s="24"/>
    </row>
    <row r="50">
      <c r="A50" s="20" t="s">
        <v>485</v>
      </c>
      <c r="B50" s="24">
        <v>49.0</v>
      </c>
      <c r="C50" s="25" t="s">
        <v>486</v>
      </c>
      <c r="D50" s="20" t="s">
        <v>487</v>
      </c>
      <c r="E50" s="21" t="s">
        <v>311</v>
      </c>
      <c r="F50" s="24"/>
      <c r="G50" s="24"/>
      <c r="H50" s="23" t="str">
        <f t="array" ref="H50">_xlfn.XLOOKUP(account.account[account_type],account.account.account_type[name],account.account.account_type[npl group name level 2])</f>
        <v>Neraca - Liabilitas</v>
      </c>
      <c r="I50" s="23" t="str">
        <f t="array" ref="I50">_xlfn.XLOOKUP(account.account[account_type],account.account.account_type[name],account.account.account_type[npl group name level 3])</f>
        <v>Neraca - Liabilitas - Pasiva Terkini</v>
      </c>
      <c r="J50" s="23" t="str">
        <f t="shared" si="1"/>
        <v>25110030 BYMHD Air</v>
      </c>
      <c r="K50" s="30" t="b">
        <v>1</v>
      </c>
      <c r="L50" s="30" t="b">
        <v>1</v>
      </c>
      <c r="M50" s="24"/>
      <c r="N50" s="24"/>
    </row>
    <row r="51">
      <c r="A51" s="20" t="s">
        <v>488</v>
      </c>
      <c r="B51" s="24">
        <v>50.0</v>
      </c>
      <c r="C51" s="25" t="s">
        <v>489</v>
      </c>
      <c r="D51" s="20" t="s">
        <v>490</v>
      </c>
      <c r="E51" s="21" t="s">
        <v>311</v>
      </c>
      <c r="F51" s="24"/>
      <c r="G51" s="24"/>
      <c r="H51" s="23" t="str">
        <f t="array" ref="H51">_xlfn.XLOOKUP(account.account[account_type],account.account.account_type[name],account.account.account_type[npl group name level 2])</f>
        <v>Neraca - Liabilitas</v>
      </c>
      <c r="I51" s="23" t="str">
        <f t="array" ref="I51">_xlfn.XLOOKUP(account.account[account_type],account.account.account_type[name],account.account.account_type[npl group name level 3])</f>
        <v>Neraca - Liabilitas - Pasiva Terkini</v>
      </c>
      <c r="J51" s="23" t="str">
        <f t="shared" si="1"/>
        <v>25110040 BYMHD Telepon</v>
      </c>
      <c r="K51" s="30" t="b">
        <v>1</v>
      </c>
      <c r="L51" s="30" t="b">
        <v>1</v>
      </c>
      <c r="M51" s="24"/>
      <c r="N51" s="24"/>
    </row>
    <row r="52">
      <c r="A52" s="20" t="s">
        <v>491</v>
      </c>
      <c r="B52" s="24">
        <v>51.0</v>
      </c>
      <c r="C52" s="25" t="s">
        <v>492</v>
      </c>
      <c r="D52" s="20" t="s">
        <v>493</v>
      </c>
      <c r="E52" s="21" t="s">
        <v>311</v>
      </c>
      <c r="F52" s="24"/>
      <c r="G52" s="24"/>
      <c r="H52" s="23" t="str">
        <f t="array" ref="H52">_xlfn.XLOOKUP(account.account[account_type],account.account.account_type[name],account.account.account_type[npl group name level 2])</f>
        <v>Neraca - Liabilitas</v>
      </c>
      <c r="I52" s="23" t="str">
        <f t="array" ref="I52">_xlfn.XLOOKUP(account.account[account_type],account.account.account_type[name],account.account.account_type[npl group name level 3])</f>
        <v>Neraca - Liabilitas - Pasiva Terkini</v>
      </c>
      <c r="J52" s="23" t="str">
        <f t="shared" si="1"/>
        <v>25110050 BYMHD Jasa Pengelola Keamanan</v>
      </c>
      <c r="K52" s="30" t="b">
        <v>1</v>
      </c>
      <c r="L52" s="30" t="b">
        <v>1</v>
      </c>
      <c r="M52" s="24"/>
      <c r="N52" s="24"/>
    </row>
    <row r="53">
      <c r="A53" s="20" t="s">
        <v>494</v>
      </c>
      <c r="B53" s="24">
        <v>52.0</v>
      </c>
      <c r="C53" s="25" t="s">
        <v>495</v>
      </c>
      <c r="D53" s="20" t="s">
        <v>496</v>
      </c>
      <c r="E53" s="21" t="s">
        <v>311</v>
      </c>
      <c r="F53" s="24"/>
      <c r="G53" s="24"/>
      <c r="H53" s="23" t="str">
        <f t="array" ref="H53">_xlfn.XLOOKUP(account.account[account_type],account.account.account_type[name],account.account.account_type[npl group name level 2])</f>
        <v>Neraca - Liabilitas</v>
      </c>
      <c r="I53" s="23" t="str">
        <f t="array" ref="I53">_xlfn.XLOOKUP(account.account[account_type],account.account.account_type[name],account.account.account_type[npl group name level 3])</f>
        <v>Neraca - Liabilitas - Pasiva Terkini</v>
      </c>
      <c r="J53" s="23" t="str">
        <f t="shared" si="1"/>
        <v>25110060 BYMHD Bank</v>
      </c>
      <c r="K53" s="30" t="b">
        <v>1</v>
      </c>
      <c r="L53" s="30" t="b">
        <v>1</v>
      </c>
      <c r="M53" s="24"/>
      <c r="N53" s="24"/>
    </row>
    <row r="54">
      <c r="A54" s="20" t="s">
        <v>497</v>
      </c>
      <c r="B54" s="24">
        <v>53.0</v>
      </c>
      <c r="C54" s="25" t="s">
        <v>498</v>
      </c>
      <c r="D54" s="20" t="s">
        <v>499</v>
      </c>
      <c r="E54" s="21" t="s">
        <v>311</v>
      </c>
      <c r="F54" s="24"/>
      <c r="G54" s="24"/>
      <c r="H54" s="23" t="str">
        <f t="array" ref="H54">_xlfn.XLOOKUP(account.account[account_type],account.account.account_type[name],account.account.account_type[npl group name level 2])</f>
        <v>Neraca - Liabilitas</v>
      </c>
      <c r="I54" s="23" t="str">
        <f t="array" ref="I54">_xlfn.XLOOKUP(account.account[account_type],account.account.account_type[name],account.account.account_type[npl group name level 3])</f>
        <v>Neraca - Liabilitas - Pasiva Terkini</v>
      </c>
      <c r="J54" s="23" t="str">
        <f t="shared" si="1"/>
        <v>25110070 BYMHD PBB</v>
      </c>
      <c r="K54" s="30" t="b">
        <v>1</v>
      </c>
      <c r="L54" s="30" t="b">
        <v>1</v>
      </c>
      <c r="M54" s="24"/>
      <c r="N54" s="24"/>
    </row>
    <row r="55">
      <c r="A55" s="20" t="s">
        <v>500</v>
      </c>
      <c r="B55" s="24">
        <v>54.0</v>
      </c>
      <c r="C55" s="25" t="s">
        <v>501</v>
      </c>
      <c r="D55" s="20" t="s">
        <v>502</v>
      </c>
      <c r="E55" s="21" t="s">
        <v>311</v>
      </c>
      <c r="F55" s="24"/>
      <c r="G55" s="24"/>
      <c r="H55" s="23" t="str">
        <f t="array" ref="H55">_xlfn.XLOOKUP(account.account[account_type],account.account.account_type[name],account.account.account_type[npl group name level 2])</f>
        <v>Neraca - Liabilitas</v>
      </c>
      <c r="I55" s="23" t="str">
        <f t="array" ref="I55">_xlfn.XLOOKUP(account.account[account_type],account.account.account_type[name],account.account.account_type[npl group name level 3])</f>
        <v>Neraca - Liabilitas - Pasiva Terkini</v>
      </c>
      <c r="J55" s="23" t="str">
        <f t="shared" si="1"/>
        <v>25110080 BYMHD Izin Usaha</v>
      </c>
      <c r="K55" s="30" t="b">
        <v>1</v>
      </c>
      <c r="L55" s="30" t="b">
        <v>1</v>
      </c>
      <c r="M55" s="24"/>
      <c r="N55" s="24"/>
    </row>
    <row r="56">
      <c r="A56" s="20" t="s">
        <v>503</v>
      </c>
      <c r="B56" s="24">
        <v>55.0</v>
      </c>
      <c r="C56" s="25" t="s">
        <v>504</v>
      </c>
      <c r="D56" s="20" t="s">
        <v>505</v>
      </c>
      <c r="E56" s="21" t="s">
        <v>311</v>
      </c>
      <c r="F56" s="24"/>
      <c r="G56" s="24"/>
      <c r="H56" s="23" t="str">
        <f t="array" ref="H56">_xlfn.XLOOKUP(account.account[account_type],account.account.account_type[name],account.account.account_type[npl group name level 2])</f>
        <v>Neraca - Liabilitas</v>
      </c>
      <c r="I56" s="23" t="str">
        <f t="array" ref="I56">_xlfn.XLOOKUP(account.account[account_type],account.account.account_type[name],account.account.account_type[npl group name level 3])</f>
        <v>Neraca - Liabilitas - Pasiva Terkini</v>
      </c>
      <c r="J56" s="23" t="str">
        <f t="shared" si="1"/>
        <v>25110090 BYMHD Asuransi</v>
      </c>
      <c r="K56" s="30" t="b">
        <v>1</v>
      </c>
      <c r="L56" s="30" t="b">
        <v>1</v>
      </c>
      <c r="M56" s="24"/>
      <c r="N56" s="24"/>
    </row>
    <row r="57">
      <c r="A57" s="20" t="s">
        <v>506</v>
      </c>
      <c r="B57" s="24">
        <v>56.0</v>
      </c>
      <c r="C57" s="25" t="s">
        <v>507</v>
      </c>
      <c r="D57" s="20" t="s">
        <v>508</v>
      </c>
      <c r="E57" s="21" t="s">
        <v>311</v>
      </c>
      <c r="F57" s="24"/>
      <c r="G57" s="24"/>
      <c r="H57" s="23" t="str">
        <f t="array" ref="H57">_xlfn.XLOOKUP(account.account[account_type],account.account.account_type[name],account.account.account_type[npl group name level 2])</f>
        <v>Neraca - Liabilitas</v>
      </c>
      <c r="I57" s="23" t="str">
        <f t="array" ref="I57">_xlfn.XLOOKUP(account.account[account_type],account.account.account_type[name],account.account.account_type[npl group name level 3])</f>
        <v>Neraca - Liabilitas - Pasiva Terkini</v>
      </c>
      <c r="J57" s="23" t="str">
        <f t="shared" si="1"/>
        <v>25110100 BYMHD Pendidikan dan Latihan</v>
      </c>
      <c r="K57" s="30" t="b">
        <v>1</v>
      </c>
      <c r="L57" s="30" t="b">
        <v>1</v>
      </c>
      <c r="M57" s="24"/>
      <c r="N57" s="24"/>
    </row>
    <row r="58">
      <c r="A58" s="20" t="s">
        <v>509</v>
      </c>
      <c r="B58" s="24">
        <v>57.0</v>
      </c>
      <c r="C58" s="25" t="s">
        <v>510</v>
      </c>
      <c r="D58" s="20" t="s">
        <v>511</v>
      </c>
      <c r="E58" s="21" t="s">
        <v>311</v>
      </c>
      <c r="F58" s="24"/>
      <c r="G58" s="24"/>
      <c r="H58" s="23" t="str">
        <f t="array" ref="H58">_xlfn.XLOOKUP(account.account[account_type],account.account.account_type[name],account.account.account_type[npl group name level 2])</f>
        <v>Neraca - Liabilitas</v>
      </c>
      <c r="I58" s="23" t="str">
        <f t="array" ref="I58">_xlfn.XLOOKUP(account.account[account_type],account.account.account_type[name],account.account.account_type[npl group name level 3])</f>
        <v>Neraca - Liabilitas - Pasiva Terkini</v>
      </c>
      <c r="J58" s="23" t="str">
        <f t="shared" si="1"/>
        <v>25110110 BYMHD Jaminan Kesehatan/BPJS</v>
      </c>
      <c r="K58" s="30" t="b">
        <v>1</v>
      </c>
      <c r="L58" s="30" t="b">
        <v>1</v>
      </c>
      <c r="M58" s="24"/>
      <c r="N58" s="24"/>
    </row>
    <row r="59">
      <c r="A59" s="20" t="s">
        <v>512</v>
      </c>
      <c r="B59" s="24">
        <v>58.0</v>
      </c>
      <c r="C59" s="25" t="s">
        <v>513</v>
      </c>
      <c r="D59" s="20" t="s">
        <v>514</v>
      </c>
      <c r="E59" s="21" t="s">
        <v>311</v>
      </c>
      <c r="F59" s="24"/>
      <c r="G59" s="24"/>
      <c r="H59" s="23" t="str">
        <f t="array" ref="H59">_xlfn.XLOOKUP(account.account[account_type],account.account.account_type[name],account.account.account_type[npl group name level 2])</f>
        <v>Neraca - Liabilitas</v>
      </c>
      <c r="I59" s="23" t="str">
        <f t="array" ref="I59">_xlfn.XLOOKUP(account.account[account_type],account.account.account_type[name],account.account.account_type[npl group name level 3])</f>
        <v>Neraca - Liabilitas - Pasiva Terkini</v>
      </c>
      <c r="J59" s="23" t="str">
        <f t="shared" si="1"/>
        <v>28110010 Uang Muka Penjualan</v>
      </c>
      <c r="K59" s="30" t="b">
        <v>1</v>
      </c>
      <c r="L59" s="30" t="b">
        <v>1</v>
      </c>
      <c r="M59" s="24"/>
      <c r="N59" s="24"/>
    </row>
    <row r="60">
      <c r="A60" s="20" t="s">
        <v>515</v>
      </c>
      <c r="B60" s="24">
        <v>59.0</v>
      </c>
      <c r="C60" s="25" t="s">
        <v>516</v>
      </c>
      <c r="D60" s="20" t="s">
        <v>517</v>
      </c>
      <c r="E60" s="21" t="s">
        <v>311</v>
      </c>
      <c r="F60" s="24"/>
      <c r="G60" s="24"/>
      <c r="H60" s="23" t="str">
        <f t="array" ref="H60">_xlfn.XLOOKUP(account.account[account_type],account.account.account_type[name],account.account.account_type[npl group name level 2])</f>
        <v>Neraca - Liabilitas</v>
      </c>
      <c r="I60" s="23" t="str">
        <f t="array" ref="I60">_xlfn.XLOOKUP(account.account[account_type],account.account.account_type[name],account.account.account_type[npl group name level 3])</f>
        <v>Neraca - Liabilitas - Pasiva Terkini</v>
      </c>
      <c r="J60" s="23" t="str">
        <f t="shared" si="1"/>
        <v>28110020 Deposit Pelanggan</v>
      </c>
      <c r="K60" s="30" t="b">
        <v>1</v>
      </c>
      <c r="L60" s="30" t="b">
        <v>1</v>
      </c>
      <c r="M60" s="24"/>
      <c r="N60" s="24"/>
    </row>
    <row r="61">
      <c r="A61" s="20" t="s">
        <v>518</v>
      </c>
      <c r="B61" s="24">
        <v>60.0</v>
      </c>
      <c r="C61" s="25" t="s">
        <v>519</v>
      </c>
      <c r="D61" s="20" t="s">
        <v>520</v>
      </c>
      <c r="E61" s="21" t="s">
        <v>311</v>
      </c>
      <c r="F61" s="24"/>
      <c r="G61" s="24"/>
      <c r="H61" s="23" t="str">
        <f t="array" ref="H61">_xlfn.XLOOKUP(account.account[account_type],account.account.account_type[name],account.account.account_type[npl group name level 2])</f>
        <v>Neraca - Liabilitas</v>
      </c>
      <c r="I61" s="23" t="str">
        <f t="array" ref="I61">_xlfn.XLOOKUP(account.account[account_type],account.account.account_type[name],account.account.account_type[npl group name level 3])</f>
        <v>Neraca - Liabilitas - Pasiva Terkini</v>
      </c>
      <c r="J61" s="23" t="str">
        <f t="shared" si="1"/>
        <v>28110030 Deferred Revenue</v>
      </c>
      <c r="K61" s="30" t="b">
        <v>1</v>
      </c>
      <c r="L61" s="30" t="b">
        <v>1</v>
      </c>
      <c r="M61" s="24"/>
      <c r="N61" s="24"/>
    </row>
    <row r="62">
      <c r="A62" s="20" t="s">
        <v>521</v>
      </c>
      <c r="B62" s="24">
        <v>61.0</v>
      </c>
      <c r="C62" s="25" t="s">
        <v>522</v>
      </c>
      <c r="D62" s="20" t="s">
        <v>523</v>
      </c>
      <c r="E62" s="21" t="s">
        <v>311</v>
      </c>
      <c r="F62" s="24"/>
      <c r="G62" s="24"/>
      <c r="H62" s="23" t="str">
        <f t="array" ref="H62">_xlfn.XLOOKUP(account.account[account_type],account.account.account_type[name],account.account.account_type[npl group name level 2])</f>
        <v>Neraca - Liabilitas</v>
      </c>
      <c r="I62" s="23" t="str">
        <f t="array" ref="I62">_xlfn.XLOOKUP(account.account[account_type],account.account.account_type[name],account.account.account_type[npl group name level 3])</f>
        <v>Neraca - Liabilitas - Pasiva Terkini</v>
      </c>
      <c r="J62" s="23" t="str">
        <f t="shared" si="1"/>
        <v>29000000 Stok Interim</v>
      </c>
      <c r="K62" s="30" t="b">
        <v>1</v>
      </c>
      <c r="L62" s="30" t="b">
        <v>1</v>
      </c>
      <c r="M62" s="24"/>
      <c r="N62" s="24"/>
    </row>
    <row r="63">
      <c r="A63" s="20" t="s">
        <v>524</v>
      </c>
      <c r="B63" s="24">
        <v>62.0</v>
      </c>
      <c r="C63" s="25" t="s">
        <v>525</v>
      </c>
      <c r="D63" s="20" t="s">
        <v>526</v>
      </c>
      <c r="E63" s="21" t="s">
        <v>316</v>
      </c>
      <c r="F63" s="24"/>
      <c r="G63" s="24"/>
      <c r="H63" s="23" t="str">
        <f t="array" ref="H63">_xlfn.XLOOKUP(account.account[account_type],account.account.account_type[name],account.account.account_type[npl group name level 2])</f>
        <v>Neraca - Ekuitas</v>
      </c>
      <c r="I63" s="23" t="str">
        <f t="array" ref="I63">_xlfn.XLOOKUP(account.account[account_type],account.account.account_type[name],account.account.account_type[npl group name level 3])</f>
        <v>Neraca - Ekuitas - Ekuitas</v>
      </c>
      <c r="J63" s="23" t="str">
        <f t="shared" si="1"/>
        <v>31100010 Modal Dasar</v>
      </c>
      <c r="K63" s="30" t="b">
        <v>1</v>
      </c>
      <c r="L63" s="30" t="b">
        <v>1</v>
      </c>
      <c r="M63" s="24"/>
      <c r="N63" s="24"/>
    </row>
    <row r="64">
      <c r="A64" s="20" t="s">
        <v>527</v>
      </c>
      <c r="B64" s="24">
        <v>63.0</v>
      </c>
      <c r="C64" s="25" t="s">
        <v>528</v>
      </c>
      <c r="D64" s="20" t="s">
        <v>529</v>
      </c>
      <c r="E64" s="21" t="s">
        <v>316</v>
      </c>
      <c r="F64" s="24"/>
      <c r="G64" s="24"/>
      <c r="H64" s="23" t="str">
        <f t="array" ref="H64">_xlfn.XLOOKUP(account.account[account_type],account.account.account_type[name],account.account.account_type[npl group name level 2])</f>
        <v>Neraca - Ekuitas</v>
      </c>
      <c r="I64" s="23" t="str">
        <f t="array" ref="I64">_xlfn.XLOOKUP(account.account[account_type],account.account.account_type[name],account.account.account_type[npl group name level 3])</f>
        <v>Neraca - Ekuitas - Ekuitas</v>
      </c>
      <c r="J64" s="23" t="str">
        <f t="shared" si="1"/>
        <v>31100020 Modal Yang Disetor</v>
      </c>
      <c r="K64" s="30" t="b">
        <v>1</v>
      </c>
      <c r="L64" s="30" t="b">
        <v>1</v>
      </c>
      <c r="M64" s="24"/>
      <c r="N64" s="24"/>
    </row>
    <row r="65">
      <c r="A65" s="20" t="s">
        <v>530</v>
      </c>
      <c r="B65" s="24">
        <v>64.0</v>
      </c>
      <c r="C65" s="25" t="s">
        <v>531</v>
      </c>
      <c r="D65" s="20" t="s">
        <v>532</v>
      </c>
      <c r="E65" s="21" t="s">
        <v>316</v>
      </c>
      <c r="F65" s="24"/>
      <c r="G65" s="24"/>
      <c r="H65" s="23" t="str">
        <f t="array" ref="H65">_xlfn.XLOOKUP(account.account[account_type],account.account.account_type[name],account.account.account_type[npl group name level 2])</f>
        <v>Neraca - Ekuitas</v>
      </c>
      <c r="I65" s="23" t="str">
        <f t="array" ref="I65">_xlfn.XLOOKUP(account.account[account_type],account.account.account_type[name],account.account.account_type[npl group name level 3])</f>
        <v>Neraca - Ekuitas - Ekuitas</v>
      </c>
      <c r="J65" s="23" t="str">
        <f t="shared" si="1"/>
        <v>31100030 Modal Yang Belum Disetor</v>
      </c>
      <c r="K65" s="30" t="b">
        <v>1</v>
      </c>
      <c r="L65" s="30" t="b">
        <v>1</v>
      </c>
      <c r="M65" s="24"/>
      <c r="N65" s="24"/>
    </row>
    <row r="66">
      <c r="A66" s="20" t="s">
        <v>533</v>
      </c>
      <c r="B66" s="24">
        <v>65.0</v>
      </c>
      <c r="C66" s="25" t="s">
        <v>534</v>
      </c>
      <c r="D66" s="20" t="s">
        <v>535</v>
      </c>
      <c r="E66" s="21" t="s">
        <v>316</v>
      </c>
      <c r="F66" s="24"/>
      <c r="G66" s="24"/>
      <c r="H66" s="23" t="str">
        <f t="array" ref="H66">_xlfn.XLOOKUP(account.account[account_type],account.account.account_type[name],account.account.account_type[npl group name level 2])</f>
        <v>Neraca - Ekuitas</v>
      </c>
      <c r="I66" s="23" t="str">
        <f t="array" ref="I66">_xlfn.XLOOKUP(account.account[account_type],account.account.account_type[name],account.account.account_type[npl group name level 3])</f>
        <v>Neraca - Ekuitas - Ekuitas</v>
      </c>
      <c r="J66" s="23" t="str">
        <f t="shared" si="1"/>
        <v>31100040 Prive (Pengambilan Pribadi)</v>
      </c>
      <c r="K66" s="30" t="b">
        <v>1</v>
      </c>
      <c r="L66" s="30" t="b">
        <v>1</v>
      </c>
      <c r="M66" s="24"/>
      <c r="N66" s="24"/>
    </row>
    <row r="67">
      <c r="A67" s="20" t="s">
        <v>536</v>
      </c>
      <c r="B67" s="24">
        <v>66.0</v>
      </c>
      <c r="C67" s="25" t="s">
        <v>537</v>
      </c>
      <c r="D67" s="20" t="s">
        <v>538</v>
      </c>
      <c r="E67" s="21" t="s">
        <v>316</v>
      </c>
      <c r="F67" s="24"/>
      <c r="G67" s="24"/>
      <c r="H67" s="23" t="str">
        <f t="array" ref="H67">_xlfn.XLOOKUP(account.account[account_type],account.account.account_type[name],account.account.account_type[npl group name level 2])</f>
        <v>Neraca - Ekuitas</v>
      </c>
      <c r="I67" s="23" t="str">
        <f t="array" ref="I67">_xlfn.XLOOKUP(account.account[account_type],account.account.account_type[name],account.account.account_type[npl group name level 3])</f>
        <v>Neraca - Ekuitas - Ekuitas</v>
      </c>
      <c r="J67" s="23" t="str">
        <f t="shared" si="1"/>
        <v>31210010 Cadangan Modal</v>
      </c>
      <c r="K67" s="30" t="b">
        <v>1</v>
      </c>
      <c r="L67" s="30" t="b">
        <v>1</v>
      </c>
      <c r="M67" s="24"/>
      <c r="N67" s="24"/>
    </row>
    <row r="68">
      <c r="A68" s="20" t="s">
        <v>539</v>
      </c>
      <c r="B68" s="24">
        <v>67.0</v>
      </c>
      <c r="C68" s="25" t="s">
        <v>540</v>
      </c>
      <c r="D68" s="20" t="s">
        <v>541</v>
      </c>
      <c r="E68" s="21" t="s">
        <v>316</v>
      </c>
      <c r="F68" s="24"/>
      <c r="G68" s="24"/>
      <c r="H68" s="23" t="str">
        <f t="array" ref="H68">_xlfn.XLOOKUP(account.account[account_type],account.account.account_type[name],account.account.account_type[npl group name level 2])</f>
        <v>Neraca - Ekuitas</v>
      </c>
      <c r="I68" s="23" t="str">
        <f t="array" ref="I68">_xlfn.XLOOKUP(account.account[account_type],account.account.account_type[name],account.account.account_type[npl group name level 3])</f>
        <v>Neraca - Ekuitas - Ekuitas</v>
      </c>
      <c r="J68" s="23" t="str">
        <f t="shared" si="1"/>
        <v>31510010 Laba Rugi Tahun Lalu</v>
      </c>
      <c r="K68" s="30" t="b">
        <v>1</v>
      </c>
      <c r="L68" s="30" t="b">
        <v>1</v>
      </c>
      <c r="M68" s="24"/>
      <c r="N68" s="24"/>
    </row>
    <row r="69">
      <c r="A69" s="20" t="s">
        <v>542</v>
      </c>
      <c r="B69" s="24">
        <v>68.0</v>
      </c>
      <c r="C69" s="25" t="s">
        <v>543</v>
      </c>
      <c r="D69" s="20" t="s">
        <v>544</v>
      </c>
      <c r="E69" s="21" t="s">
        <v>316</v>
      </c>
      <c r="F69" s="24"/>
      <c r="G69" s="24"/>
      <c r="H69" s="23" t="str">
        <f t="array" ref="H69">_xlfn.XLOOKUP(account.account[account_type],account.account.account_type[name],account.account.account_type[npl group name level 2])</f>
        <v>Neraca - Ekuitas</v>
      </c>
      <c r="I69" s="23" t="str">
        <f t="array" ref="I69">_xlfn.XLOOKUP(account.account[account_type],account.account.account_type[name],account.account.account_type[npl group name level 3])</f>
        <v>Neraca - Ekuitas - Ekuitas</v>
      </c>
      <c r="J69" s="23" t="str">
        <f t="shared" si="1"/>
        <v>31510020 Laba Rugi Tahun Berjalan</v>
      </c>
      <c r="K69" s="30" t="b">
        <v>1</v>
      </c>
      <c r="L69" s="30" t="b">
        <v>1</v>
      </c>
      <c r="M69" s="24"/>
      <c r="N69" s="24"/>
    </row>
    <row r="70">
      <c r="A70" s="20" t="s">
        <v>545</v>
      </c>
      <c r="B70" s="24">
        <v>69.0</v>
      </c>
      <c r="C70" s="25" t="s">
        <v>546</v>
      </c>
      <c r="D70" s="20" t="s">
        <v>547</v>
      </c>
      <c r="E70" s="21" t="s">
        <v>316</v>
      </c>
      <c r="F70" s="24"/>
      <c r="G70" s="24"/>
      <c r="H70" s="23" t="str">
        <f t="array" ref="H70">_xlfn.XLOOKUP(account.account[account_type],account.account.account_type[name],account.account.account_type[npl group name level 2])</f>
        <v>Neraca - Ekuitas</v>
      </c>
      <c r="I70" s="23" t="str">
        <f t="array" ref="I70">_xlfn.XLOOKUP(account.account[account_type],account.account.account_type[name],account.account.account_type[npl group name level 3])</f>
        <v>Neraca - Ekuitas - Ekuitas</v>
      </c>
      <c r="J70" s="23" t="str">
        <f t="shared" si="1"/>
        <v>39000000 Historical Balance</v>
      </c>
      <c r="K70" s="30" t="b">
        <v>1</v>
      </c>
      <c r="L70" s="30" t="b">
        <v>1</v>
      </c>
      <c r="M70" s="24"/>
      <c r="N70" s="24"/>
    </row>
    <row r="71">
      <c r="A71" s="20" t="s">
        <v>548</v>
      </c>
      <c r="B71" s="24">
        <v>70.0</v>
      </c>
      <c r="C71" s="25" t="s">
        <v>549</v>
      </c>
      <c r="D71" s="20" t="s">
        <v>550</v>
      </c>
      <c r="E71" s="21" t="s">
        <v>325</v>
      </c>
      <c r="F71" s="24"/>
      <c r="G71" s="24"/>
      <c r="H71" s="23" t="str">
        <f t="array" ref="H71">_xlfn.XLOOKUP(account.account[account_type],account.account.account_type[name],account.account.account_type[npl group name level 2])</f>
        <v>P&amp;L - Penghasilan</v>
      </c>
      <c r="I71" s="23" t="str">
        <f t="array" ref="I71">_xlfn.XLOOKUP(account.account[account_type],account.account.account_type[name],account.account.account_type[npl group name level 3])</f>
        <v>P&amp;L - Penghasilan - Penghasilan</v>
      </c>
      <c r="J71" s="23" t="str">
        <f t="shared" si="1"/>
        <v>41000010 Penjualan</v>
      </c>
      <c r="K71" s="30" t="b">
        <v>1</v>
      </c>
      <c r="L71" s="30" t="b">
        <v>1</v>
      </c>
      <c r="M71" s="24"/>
      <c r="N71" s="24"/>
    </row>
    <row r="72">
      <c r="A72" s="20" t="s">
        <v>551</v>
      </c>
      <c r="B72" s="24">
        <v>71.0</v>
      </c>
      <c r="C72" s="25" t="s">
        <v>552</v>
      </c>
      <c r="D72" s="20" t="s">
        <v>553</v>
      </c>
      <c r="E72" s="21" t="s">
        <v>325</v>
      </c>
      <c r="F72" s="24"/>
      <c r="G72" s="24"/>
      <c r="H72" s="23" t="str">
        <f t="array" ref="H72">_xlfn.XLOOKUP(account.account[account_type],account.account.account_type[name],account.account.account_type[npl group name level 2])</f>
        <v>P&amp;L - Penghasilan</v>
      </c>
      <c r="I72" s="23" t="str">
        <f t="array" ref="I72">_xlfn.XLOOKUP(account.account[account_type],account.account.account_type[name],account.account.account_type[npl group name level 3])</f>
        <v>P&amp;L - Penghasilan - Penghasilan</v>
      </c>
      <c r="J72" s="23" t="str">
        <f t="shared" si="1"/>
        <v>42000060 Retur Penjualan</v>
      </c>
      <c r="K72" s="30" t="b">
        <v>1</v>
      </c>
      <c r="L72" s="30" t="b">
        <v>1</v>
      </c>
      <c r="M72" s="24"/>
      <c r="N72" s="24"/>
    </row>
    <row r="73">
      <c r="A73" s="20" t="s">
        <v>554</v>
      </c>
      <c r="B73" s="24">
        <v>72.0</v>
      </c>
      <c r="C73" s="25" t="s">
        <v>555</v>
      </c>
      <c r="D73" s="20" t="s">
        <v>556</v>
      </c>
      <c r="E73" s="21" t="s">
        <v>325</v>
      </c>
      <c r="F73" s="24"/>
      <c r="G73" s="24"/>
      <c r="H73" s="23" t="str">
        <f t="array" ref="H73">_xlfn.XLOOKUP(account.account[account_type],account.account.account_type[name],account.account.account_type[npl group name level 2])</f>
        <v>P&amp;L - Penghasilan</v>
      </c>
      <c r="I73" s="23" t="str">
        <f t="array" ref="I73">_xlfn.XLOOKUP(account.account[account_type],account.account.account_type[name],account.account.account_type[npl group name level 3])</f>
        <v>P&amp;L - Penghasilan - Penghasilan</v>
      </c>
      <c r="J73" s="23" t="str">
        <f t="shared" si="1"/>
        <v>42000070 Discount Penjualan</v>
      </c>
      <c r="K73" s="30" t="b">
        <v>1</v>
      </c>
      <c r="L73" s="30" t="b">
        <v>1</v>
      </c>
      <c r="M73" s="24"/>
      <c r="N73" s="24"/>
    </row>
    <row r="74">
      <c r="A74" s="20" t="s">
        <v>557</v>
      </c>
      <c r="B74" s="24">
        <v>73.0</v>
      </c>
      <c r="C74" s="25" t="s">
        <v>558</v>
      </c>
      <c r="D74" s="20" t="s">
        <v>559</v>
      </c>
      <c r="E74" s="21" t="s">
        <v>337</v>
      </c>
      <c r="F74" s="24"/>
      <c r="G74" s="24"/>
      <c r="H74" s="23" t="str">
        <f t="array" ref="H74">_xlfn.XLOOKUP(account.account[account_type],account.account.account_type[name],account.account.account_type[npl group name level 2])</f>
        <v>P&amp;L - Pengeluaran</v>
      </c>
      <c r="I74" s="23" t="str">
        <f t="array" ref="I74">_xlfn.XLOOKUP(account.account[account_type],account.account.account_type[name],account.account.account_type[npl group name level 3])</f>
        <v>P&amp;L - Pengeluaran - Pengeluaran</v>
      </c>
      <c r="J74" s="23" t="str">
        <f t="shared" si="1"/>
        <v>42500010 Perubahan Persediaan</v>
      </c>
      <c r="K74" s="30" t="b">
        <v>1</v>
      </c>
      <c r="L74" s="30" t="b">
        <v>1</v>
      </c>
      <c r="M74" s="24"/>
      <c r="N74" s="24"/>
    </row>
    <row r="75">
      <c r="A75" s="20" t="s">
        <v>560</v>
      </c>
      <c r="B75" s="24">
        <v>74.0</v>
      </c>
      <c r="C75" s="25" t="s">
        <v>561</v>
      </c>
      <c r="D75" s="20" t="s">
        <v>562</v>
      </c>
      <c r="E75" s="21" t="s">
        <v>348</v>
      </c>
      <c r="F75" s="24"/>
      <c r="G75" s="24"/>
      <c r="H75" s="23" t="str">
        <f t="array" ref="H75">_xlfn.XLOOKUP(account.account[account_type],account.account.account_type[name],account.account.account_type[npl group name level 2])</f>
        <v>P&amp;L - Pengeluaran</v>
      </c>
      <c r="I75" s="23" t="str">
        <f t="array" ref="I75">_xlfn.XLOOKUP(account.account[account_type],account.account.account_type[name],account.account.account_type[npl group name level 3])</f>
        <v>P&amp;L - Pengeluaran - Biaya Pendapatan</v>
      </c>
      <c r="J75" s="23" t="str">
        <f t="shared" si="1"/>
        <v>51000010 Harga Pokok Penjualan</v>
      </c>
      <c r="K75" s="30" t="b">
        <v>1</v>
      </c>
      <c r="L75" s="30" t="b">
        <v>1</v>
      </c>
      <c r="M75" s="24"/>
      <c r="N75" s="24"/>
    </row>
    <row r="76">
      <c r="A76" s="20" t="s">
        <v>563</v>
      </c>
      <c r="B76" s="24">
        <v>75.0</v>
      </c>
      <c r="C76" s="25" t="s">
        <v>564</v>
      </c>
      <c r="D76" s="20" t="s">
        <v>565</v>
      </c>
      <c r="E76" s="21" t="s">
        <v>337</v>
      </c>
      <c r="F76" s="24"/>
      <c r="G76" s="24"/>
      <c r="H76" s="23" t="str">
        <f t="array" ref="H76">_xlfn.XLOOKUP(account.account[account_type],account.account.account_type[name],account.account.account_type[npl group name level 2])</f>
        <v>P&amp;L - Pengeluaran</v>
      </c>
      <c r="I76" s="23" t="str">
        <f t="array" ref="I76">_xlfn.XLOOKUP(account.account[account_type],account.account.account_type[name],account.account.account_type[npl group name level 3])</f>
        <v>P&amp;L - Pengeluaran - Pengeluaran</v>
      </c>
      <c r="J76" s="23" t="str">
        <f t="shared" si="1"/>
        <v>51000020 Pembelian Bahan Baku</v>
      </c>
      <c r="K76" s="30" t="b">
        <v>1</v>
      </c>
      <c r="L76" s="30" t="b">
        <v>1</v>
      </c>
      <c r="M76" s="24"/>
      <c r="N76" s="24"/>
    </row>
    <row r="77">
      <c r="A77" s="20" t="s">
        <v>566</v>
      </c>
      <c r="B77" s="24">
        <v>76.0</v>
      </c>
      <c r="C77" s="25" t="s">
        <v>567</v>
      </c>
      <c r="D77" s="20" t="s">
        <v>568</v>
      </c>
      <c r="E77" s="21" t="s">
        <v>337</v>
      </c>
      <c r="F77" s="24"/>
      <c r="G77" s="24"/>
      <c r="H77" s="23" t="str">
        <f t="array" ref="H77">_xlfn.XLOOKUP(account.account[account_type],account.account.account_type[name],account.account.account_type[npl group name level 2])</f>
        <v>P&amp;L - Pengeluaran</v>
      </c>
      <c r="I77" s="23" t="str">
        <f t="array" ref="I77">_xlfn.XLOOKUP(account.account[account_type],account.account.account_type[name],account.account.account_type[npl group name level 3])</f>
        <v>P&amp;L - Pengeluaran - Pengeluaran</v>
      </c>
      <c r="J77" s="23" t="str">
        <f t="shared" si="1"/>
        <v>61100010 Gaji Karyawan</v>
      </c>
      <c r="K77" s="30" t="b">
        <v>1</v>
      </c>
      <c r="L77" s="30" t="b">
        <v>1</v>
      </c>
      <c r="M77" s="24"/>
      <c r="N77" s="24"/>
    </row>
    <row r="78">
      <c r="A78" s="20" t="s">
        <v>569</v>
      </c>
      <c r="B78" s="24">
        <v>77.0</v>
      </c>
      <c r="C78" s="25" t="s">
        <v>570</v>
      </c>
      <c r="D78" s="20" t="s">
        <v>571</v>
      </c>
      <c r="E78" s="21" t="s">
        <v>337</v>
      </c>
      <c r="F78" s="24"/>
      <c r="G78" s="24"/>
      <c r="H78" s="23" t="str">
        <f t="array" ref="H78">_xlfn.XLOOKUP(account.account[account_type],account.account.account_type[name],account.account.account_type[npl group name level 2])</f>
        <v>P&amp;L - Pengeluaran</v>
      </c>
      <c r="I78" s="23" t="str">
        <f t="array" ref="I78">_xlfn.XLOOKUP(account.account[account_type],account.account.account_type[name],account.account.account_type[npl group name level 3])</f>
        <v>P&amp;L - Pengeluaran - Pengeluaran</v>
      </c>
      <c r="J78" s="23" t="str">
        <f t="shared" si="1"/>
        <v>61100020 Tunjangan/ Bonus Karyawan</v>
      </c>
      <c r="K78" s="30" t="b">
        <v>1</v>
      </c>
      <c r="L78" s="30" t="b">
        <v>1</v>
      </c>
      <c r="M78" s="24"/>
      <c r="N78" s="24"/>
    </row>
    <row r="79">
      <c r="A79" s="20" t="s">
        <v>572</v>
      </c>
      <c r="B79" s="24">
        <v>78.0</v>
      </c>
      <c r="C79" s="25" t="s">
        <v>573</v>
      </c>
      <c r="D79" s="20" t="s">
        <v>574</v>
      </c>
      <c r="E79" s="21" t="s">
        <v>337</v>
      </c>
      <c r="F79" s="24"/>
      <c r="G79" s="24"/>
      <c r="H79" s="23" t="str">
        <f t="array" ref="H79">_xlfn.XLOOKUP(account.account[account_type],account.account.account_type[name],account.account.account_type[npl group name level 2])</f>
        <v>P&amp;L - Pengeluaran</v>
      </c>
      <c r="I79" s="23" t="str">
        <f t="array" ref="I79">_xlfn.XLOOKUP(account.account[account_type],account.account.account_type[name],account.account.account_type[npl group name level 3])</f>
        <v>P&amp;L - Pengeluaran - Pengeluaran</v>
      </c>
      <c r="J79" s="23" t="str">
        <f t="shared" si="1"/>
        <v>61100030 Lembur Karyawan</v>
      </c>
      <c r="K79" s="30" t="b">
        <v>1</v>
      </c>
      <c r="L79" s="30" t="b">
        <v>1</v>
      </c>
      <c r="M79" s="24"/>
      <c r="N79" s="24"/>
    </row>
    <row r="80">
      <c r="A80" s="20" t="s">
        <v>575</v>
      </c>
      <c r="B80" s="24">
        <v>79.0</v>
      </c>
      <c r="C80" s="25" t="s">
        <v>576</v>
      </c>
      <c r="D80" s="20" t="s">
        <v>577</v>
      </c>
      <c r="E80" s="21" t="s">
        <v>337</v>
      </c>
      <c r="F80" s="24"/>
      <c r="G80" s="24"/>
      <c r="H80" s="23" t="str">
        <f t="array" ref="H80">_xlfn.XLOOKUP(account.account[account_type],account.account.account_type[name],account.account.account_type[npl group name level 2])</f>
        <v>P&amp;L - Pengeluaran</v>
      </c>
      <c r="I80" s="23" t="str">
        <f t="array" ref="I80">_xlfn.XLOOKUP(account.account[account_type],account.account.account_type[name],account.account.account_type[npl group name level 3])</f>
        <v>P&amp;L - Pengeluaran - Pengeluaran</v>
      </c>
      <c r="J80" s="23" t="str">
        <f t="shared" si="1"/>
        <v>61100100 Tunjangan PPH Pasal 21</v>
      </c>
      <c r="K80" s="30" t="b">
        <v>1</v>
      </c>
      <c r="L80" s="30" t="b">
        <v>1</v>
      </c>
      <c r="M80" s="24"/>
      <c r="N80" s="24"/>
    </row>
    <row r="81">
      <c r="A81" s="20" t="s">
        <v>578</v>
      </c>
      <c r="B81" s="24">
        <v>80.0</v>
      </c>
      <c r="C81" s="25" t="s">
        <v>579</v>
      </c>
      <c r="D81" s="20" t="s">
        <v>580</v>
      </c>
      <c r="E81" s="21" t="s">
        <v>337</v>
      </c>
      <c r="F81" s="24"/>
      <c r="G81" s="24"/>
      <c r="H81" s="23" t="str">
        <f t="array" ref="H81">_xlfn.XLOOKUP(account.account[account_type],account.account.account_type[name],account.account.account_type[npl group name level 2])</f>
        <v>P&amp;L - Pengeluaran</v>
      </c>
      <c r="I81" s="23" t="str">
        <f t="array" ref="I81">_xlfn.XLOOKUP(account.account[account_type],account.account.account_type[name],account.account.account_type[npl group name level 3])</f>
        <v>P&amp;L - Pengeluaran - Pengeluaran</v>
      </c>
      <c r="J81" s="23" t="str">
        <f t="shared" si="1"/>
        <v>61100110 PPh 22 Final</v>
      </c>
      <c r="K81" s="30" t="b">
        <v>1</v>
      </c>
      <c r="L81" s="30" t="b">
        <v>1</v>
      </c>
      <c r="M81" s="24"/>
      <c r="N81" s="24"/>
    </row>
    <row r="82">
      <c r="A82" s="20" t="s">
        <v>581</v>
      </c>
      <c r="B82" s="24">
        <v>81.0</v>
      </c>
      <c r="C82" s="25" t="s">
        <v>582</v>
      </c>
      <c r="D82" s="20" t="s">
        <v>583</v>
      </c>
      <c r="E82" s="21" t="s">
        <v>337</v>
      </c>
      <c r="F82" s="24"/>
      <c r="G82" s="24"/>
      <c r="H82" s="23" t="str">
        <f t="array" ref="H82">_xlfn.XLOOKUP(account.account[account_type],account.account.account_type[name],account.account.account_type[npl group name level 2])</f>
        <v>P&amp;L - Pengeluaran</v>
      </c>
      <c r="I82" s="23" t="str">
        <f t="array" ref="I82">_xlfn.XLOOKUP(account.account[account_type],account.account.account_type[name],account.account.account_type[npl group name level 3])</f>
        <v>P&amp;L - Pengeluaran - Pengeluaran</v>
      </c>
      <c r="J82" s="23" t="str">
        <f t="shared" si="1"/>
        <v>61100120 PPh 4(2) Final</v>
      </c>
      <c r="K82" s="30" t="b">
        <v>1</v>
      </c>
      <c r="L82" s="30" t="b">
        <v>1</v>
      </c>
      <c r="M82" s="24"/>
      <c r="N82" s="24"/>
    </row>
    <row r="83">
      <c r="A83" s="20" t="s">
        <v>584</v>
      </c>
      <c r="B83" s="24">
        <v>82.0</v>
      </c>
      <c r="C83" s="25" t="s">
        <v>585</v>
      </c>
      <c r="D83" s="20" t="s">
        <v>586</v>
      </c>
      <c r="E83" s="21" t="s">
        <v>337</v>
      </c>
      <c r="F83" s="24"/>
      <c r="G83" s="24"/>
      <c r="H83" s="23" t="str">
        <f t="array" ref="H83">_xlfn.XLOOKUP(account.account[account_type],account.account.account_type[name],account.account.account_type[npl group name level 2])</f>
        <v>P&amp;L - Pengeluaran</v>
      </c>
      <c r="I83" s="23" t="str">
        <f t="array" ref="I83">_xlfn.XLOOKUP(account.account[account_type],account.account.account_type[name],account.account.account_type[npl group name level 3])</f>
        <v>P&amp;L - Pengeluaran - Pengeluaran</v>
      </c>
      <c r="J83" s="23" t="str">
        <f t="shared" si="1"/>
        <v>63110060 Telepon</v>
      </c>
      <c r="K83" s="30" t="b">
        <v>1</v>
      </c>
      <c r="L83" s="30" t="b">
        <v>1</v>
      </c>
      <c r="M83" s="24"/>
      <c r="N83" s="24"/>
    </row>
    <row r="84">
      <c r="A84" s="20" t="s">
        <v>587</v>
      </c>
      <c r="B84" s="24">
        <v>83.0</v>
      </c>
      <c r="C84" s="25" t="s">
        <v>588</v>
      </c>
      <c r="D84" s="20" t="s">
        <v>589</v>
      </c>
      <c r="E84" s="21" t="s">
        <v>337</v>
      </c>
      <c r="F84" s="24"/>
      <c r="G84" s="24"/>
      <c r="H84" s="23" t="str">
        <f t="array" ref="H84">_xlfn.XLOOKUP(account.account[account_type],account.account.account_type[name],account.account.account_type[npl group name level 2])</f>
        <v>P&amp;L - Pengeluaran</v>
      </c>
      <c r="I84" s="23" t="str">
        <f t="array" ref="I84">_xlfn.XLOOKUP(account.account[account_type],account.account.account_type[name],account.account.account_type[npl group name level 3])</f>
        <v>P&amp;L - Pengeluaran - Pengeluaran</v>
      </c>
      <c r="J84" s="23" t="str">
        <f t="shared" si="1"/>
        <v>63110080 Listrik</v>
      </c>
      <c r="K84" s="30" t="b">
        <v>1</v>
      </c>
      <c r="L84" s="30" t="b">
        <v>1</v>
      </c>
      <c r="M84" s="24"/>
      <c r="N84" s="24"/>
    </row>
    <row r="85">
      <c r="A85" s="20" t="s">
        <v>590</v>
      </c>
      <c r="B85" s="24">
        <v>84.0</v>
      </c>
      <c r="C85" s="25" t="s">
        <v>591</v>
      </c>
      <c r="D85" s="20" t="s">
        <v>592</v>
      </c>
      <c r="E85" s="21" t="s">
        <v>337</v>
      </c>
      <c r="F85" s="24"/>
      <c r="G85" s="24"/>
      <c r="H85" s="23" t="str">
        <f t="array" ref="H85">_xlfn.XLOOKUP(account.account[account_type],account.account.account_type[name],account.account.account_type[npl group name level 2])</f>
        <v>P&amp;L - Pengeluaran</v>
      </c>
      <c r="I85" s="23" t="str">
        <f t="array" ref="I85">_xlfn.XLOOKUP(account.account[account_type],account.account.account_type[name],account.account.account_type[npl group name level 3])</f>
        <v>P&amp;L - Pengeluaran - Pengeluaran</v>
      </c>
      <c r="J85" s="23" t="str">
        <f t="shared" si="1"/>
        <v>63110100 Research &amp; Development</v>
      </c>
      <c r="K85" s="30" t="b">
        <v>1</v>
      </c>
      <c r="L85" s="30" t="b">
        <v>1</v>
      </c>
      <c r="M85" s="24"/>
      <c r="N85" s="24"/>
    </row>
    <row r="86">
      <c r="A86" s="20" t="s">
        <v>593</v>
      </c>
      <c r="B86" s="24">
        <v>85.0</v>
      </c>
      <c r="C86" s="25" t="s">
        <v>594</v>
      </c>
      <c r="D86" s="20" t="s">
        <v>595</v>
      </c>
      <c r="E86" s="21" t="s">
        <v>337</v>
      </c>
      <c r="F86" s="24"/>
      <c r="G86" s="24"/>
      <c r="H86" s="23" t="str">
        <f t="array" ref="H86">_xlfn.XLOOKUP(account.account[account_type],account.account.account_type[name],account.account.account_type[npl group name level 2])</f>
        <v>P&amp;L - Pengeluaran</v>
      </c>
      <c r="I86" s="23" t="str">
        <f t="array" ref="I86">_xlfn.XLOOKUP(account.account[account_type],account.account.account_type[name],account.account.account_type[npl group name level 3])</f>
        <v>P&amp;L - Pengeluaran - Pengeluaran</v>
      </c>
      <c r="J86" s="23" t="str">
        <f t="shared" si="1"/>
        <v>63110120 Perlengkapan Kantor</v>
      </c>
      <c r="K86" s="30" t="b">
        <v>1</v>
      </c>
      <c r="L86" s="30" t="b">
        <v>1</v>
      </c>
      <c r="M86" s="24"/>
      <c r="N86" s="24"/>
    </row>
    <row r="87">
      <c r="A87" s="20" t="s">
        <v>596</v>
      </c>
      <c r="B87" s="24">
        <v>86.0</v>
      </c>
      <c r="C87" s="25" t="s">
        <v>597</v>
      </c>
      <c r="D87" s="20" t="s">
        <v>598</v>
      </c>
      <c r="E87" s="21" t="s">
        <v>337</v>
      </c>
      <c r="F87" s="24"/>
      <c r="G87" s="24"/>
      <c r="H87" s="23" t="str">
        <f t="array" ref="H87">_xlfn.XLOOKUP(account.account[account_type],account.account.account_type[name],account.account.account_type[npl group name level 2])</f>
        <v>P&amp;L - Pengeluaran</v>
      </c>
      <c r="I87" s="23" t="str">
        <f t="array" ref="I87">_xlfn.XLOOKUP(account.account[account_type],account.account.account_type[name],account.account.account_type[npl group name level 3])</f>
        <v>P&amp;L - Pengeluaran - Pengeluaran</v>
      </c>
      <c r="J87" s="23" t="str">
        <f t="shared" si="1"/>
        <v>63110140 Keperluan Lain-lain</v>
      </c>
      <c r="K87" s="30" t="b">
        <v>1</v>
      </c>
      <c r="L87" s="30" t="b">
        <v>1</v>
      </c>
      <c r="M87" s="24"/>
      <c r="N87" s="24"/>
    </row>
    <row r="88">
      <c r="A88" s="20" t="s">
        <v>599</v>
      </c>
      <c r="B88" s="24">
        <v>87.0</v>
      </c>
      <c r="C88" s="25" t="s">
        <v>600</v>
      </c>
      <c r="D88" s="20" t="s">
        <v>601</v>
      </c>
      <c r="E88" s="21" t="s">
        <v>337</v>
      </c>
      <c r="F88" s="24"/>
      <c r="G88" s="24"/>
      <c r="H88" s="23" t="str">
        <f t="array" ref="H88">_xlfn.XLOOKUP(account.account[account_type],account.account.account_type[name],account.account.account_type[npl group name level 2])</f>
        <v>P&amp;L - Pengeluaran</v>
      </c>
      <c r="I88" s="23" t="str">
        <f t="array" ref="I88">_xlfn.XLOOKUP(account.account[account_type],account.account.account_type[name],account.account.account_type[npl group name level 3])</f>
        <v>P&amp;L - Pengeluaran - Pengeluaran</v>
      </c>
      <c r="J88" s="23" t="str">
        <f t="shared" si="1"/>
        <v>64110020 Keperluan Pos</v>
      </c>
      <c r="K88" s="30" t="b">
        <v>1</v>
      </c>
      <c r="L88" s="30" t="b">
        <v>1</v>
      </c>
      <c r="M88" s="24"/>
      <c r="N88" s="24"/>
    </row>
    <row r="89">
      <c r="A89" s="20" t="s">
        <v>602</v>
      </c>
      <c r="B89" s="24">
        <v>88.0</v>
      </c>
      <c r="C89" s="25" t="s">
        <v>603</v>
      </c>
      <c r="D89" s="20" t="s">
        <v>604</v>
      </c>
      <c r="E89" s="21" t="s">
        <v>337</v>
      </c>
      <c r="F89" s="24"/>
      <c r="G89" s="24"/>
      <c r="H89" s="23" t="str">
        <f t="array" ref="H89">_xlfn.XLOOKUP(account.account[account_type],account.account.account_type[name],account.account.account_type[npl group name level 2])</f>
        <v>P&amp;L - Pengeluaran</v>
      </c>
      <c r="I89" s="23" t="str">
        <f t="array" ref="I89">_xlfn.XLOOKUP(account.account[account_type],account.account.account_type[name],account.account.account_type[npl group name level 3])</f>
        <v>P&amp;L - Pengeluaran - Pengeluaran</v>
      </c>
      <c r="J89" s="23" t="str">
        <f t="shared" si="1"/>
        <v>65110010 Biaya Perizinan</v>
      </c>
      <c r="K89" s="30" t="b">
        <v>1</v>
      </c>
      <c r="L89" s="30" t="b">
        <v>1</v>
      </c>
      <c r="M89" s="24"/>
      <c r="N89" s="24"/>
    </row>
    <row r="90">
      <c r="A90" s="20" t="s">
        <v>605</v>
      </c>
      <c r="B90" s="24">
        <v>89.0</v>
      </c>
      <c r="C90" s="25" t="s">
        <v>606</v>
      </c>
      <c r="D90" s="20" t="s">
        <v>607</v>
      </c>
      <c r="E90" s="21" t="s">
        <v>337</v>
      </c>
      <c r="F90" s="24"/>
      <c r="G90" s="24"/>
      <c r="H90" s="23" t="str">
        <f t="array" ref="H90">_xlfn.XLOOKUP(account.account[account_type],account.account.account_type[name],account.account.account_type[npl group name level 2])</f>
        <v>P&amp;L - Pengeluaran</v>
      </c>
      <c r="I90" s="23" t="str">
        <f t="array" ref="I90">_xlfn.XLOOKUP(account.account[account_type],account.account.account_type[name],account.account.account_type[npl group name level 3])</f>
        <v>P&amp;L - Pengeluaran - Pengeluaran</v>
      </c>
      <c r="J90" s="23" t="str">
        <f t="shared" si="1"/>
        <v>65110020 Biaya Administrasi Bank</v>
      </c>
      <c r="K90" s="30" t="b">
        <v>1</v>
      </c>
      <c r="L90" s="30" t="b">
        <v>1</v>
      </c>
      <c r="M90" s="24"/>
      <c r="N90" s="24"/>
    </row>
    <row r="91">
      <c r="A91" s="20" t="s">
        <v>608</v>
      </c>
      <c r="B91" s="24">
        <v>90.0</v>
      </c>
      <c r="C91" s="25" t="s">
        <v>609</v>
      </c>
      <c r="D91" s="20" t="s">
        <v>610</v>
      </c>
      <c r="E91" s="21" t="s">
        <v>337</v>
      </c>
      <c r="F91" s="24"/>
      <c r="G91" s="24"/>
      <c r="H91" s="23" t="str">
        <f t="array" ref="H91">_xlfn.XLOOKUP(account.account[account_type],account.account.account_type[name],account.account.account_type[npl group name level 2])</f>
        <v>P&amp;L - Pengeluaran</v>
      </c>
      <c r="I91" s="23" t="str">
        <f t="array" ref="I91">_xlfn.XLOOKUP(account.account[account_type],account.account.account_type[name],account.account.account_type[npl group name level 3])</f>
        <v>P&amp;L - Pengeluaran - Pengeluaran</v>
      </c>
      <c r="J91" s="23" t="str">
        <f t="shared" si="1"/>
        <v>65110030 Biaya Konsultan</v>
      </c>
      <c r="K91" s="30" t="b">
        <v>1</v>
      </c>
      <c r="L91" s="30" t="b">
        <v>1</v>
      </c>
      <c r="M91" s="24"/>
      <c r="N91" s="24"/>
    </row>
    <row r="92">
      <c r="A92" s="20" t="s">
        <v>611</v>
      </c>
      <c r="B92" s="24">
        <v>91.0</v>
      </c>
      <c r="C92" s="25" t="s">
        <v>612</v>
      </c>
      <c r="D92" s="20" t="s">
        <v>613</v>
      </c>
      <c r="E92" s="21" t="s">
        <v>337</v>
      </c>
      <c r="F92" s="24"/>
      <c r="G92" s="24"/>
      <c r="H92" s="23" t="str">
        <f t="array" ref="H92">_xlfn.XLOOKUP(account.account[account_type],account.account.account_type[name],account.account.account_type[npl group name level 2])</f>
        <v>P&amp;L - Pengeluaran</v>
      </c>
      <c r="I92" s="23" t="str">
        <f t="array" ref="I92">_xlfn.XLOOKUP(account.account[account_type],account.account.account_type[name],account.account.account_type[npl group name level 3])</f>
        <v>P&amp;L - Pengeluaran - Pengeluaran</v>
      </c>
      <c r="J92" s="23" t="str">
        <f t="shared" si="1"/>
        <v>65110040 Biaya Sewa</v>
      </c>
      <c r="K92" s="30" t="b">
        <v>1</v>
      </c>
      <c r="L92" s="30" t="b">
        <v>1</v>
      </c>
      <c r="M92" s="24"/>
      <c r="N92" s="24"/>
    </row>
    <row r="93">
      <c r="A93" s="20" t="s">
        <v>614</v>
      </c>
      <c r="B93" s="24">
        <v>92.0</v>
      </c>
      <c r="C93" s="25" t="s">
        <v>615</v>
      </c>
      <c r="D93" s="20" t="s">
        <v>616</v>
      </c>
      <c r="E93" s="21" t="s">
        <v>337</v>
      </c>
      <c r="F93" s="24"/>
      <c r="G93" s="24"/>
      <c r="H93" s="23" t="str">
        <f t="array" ref="H93">_xlfn.XLOOKUP(account.account[account_type],account.account.account_type[name],account.account.account_type[npl group name level 2])</f>
        <v>P&amp;L - Pengeluaran</v>
      </c>
      <c r="I93" s="23" t="str">
        <f t="array" ref="I93">_xlfn.XLOOKUP(account.account[account_type],account.account.account_type[name],account.account.account_type[npl group name level 3])</f>
        <v>P&amp;L - Pengeluaran - Pengeluaran</v>
      </c>
      <c r="J93" s="23" t="str">
        <f t="shared" si="1"/>
        <v>65110050 Insurance Costs</v>
      </c>
      <c r="K93" s="30" t="b">
        <v>1</v>
      </c>
      <c r="L93" s="30" t="b">
        <v>1</v>
      </c>
      <c r="M93" s="24"/>
      <c r="N93" s="24"/>
    </row>
    <row r="94">
      <c r="A94" s="20" t="s">
        <v>617</v>
      </c>
      <c r="B94" s="24">
        <v>93.0</v>
      </c>
      <c r="C94" s="25" t="s">
        <v>618</v>
      </c>
      <c r="D94" s="20" t="s">
        <v>619</v>
      </c>
      <c r="E94" s="21" t="s">
        <v>337</v>
      </c>
      <c r="F94" s="24"/>
      <c r="G94" s="24"/>
      <c r="H94" s="23" t="str">
        <f t="array" ref="H94">_xlfn.XLOOKUP(account.account[account_type],account.account.account_type[name],account.account.account_type[npl group name level 2])</f>
        <v>P&amp;L - Pengeluaran</v>
      </c>
      <c r="I94" s="23" t="str">
        <f t="array" ref="I94">_xlfn.XLOOKUP(account.account[account_type],account.account.account_type[name],account.account.account_type[npl group name level 3])</f>
        <v>P&amp;L - Pengeluaran - Pengeluaran</v>
      </c>
      <c r="J94" s="23" t="str">
        <f t="shared" si="1"/>
        <v>65110060 Biaya Pemeliharaan &amp; Perawatan Gedung</v>
      </c>
      <c r="K94" s="30" t="b">
        <v>1</v>
      </c>
      <c r="L94" s="30" t="b">
        <v>1</v>
      </c>
      <c r="M94" s="24"/>
      <c r="N94" s="24"/>
    </row>
    <row r="95">
      <c r="A95" s="20" t="s">
        <v>620</v>
      </c>
      <c r="B95" s="24">
        <v>94.0</v>
      </c>
      <c r="C95" s="25" t="s">
        <v>621</v>
      </c>
      <c r="D95" s="20" t="s">
        <v>622</v>
      </c>
      <c r="E95" s="21" t="s">
        <v>337</v>
      </c>
      <c r="F95" s="24"/>
      <c r="G95" s="24"/>
      <c r="H95" s="23" t="str">
        <f t="array" ref="H95">_xlfn.XLOOKUP(account.account[account_type],account.account.account_type[name],account.account.account_type[npl group name level 2])</f>
        <v>P&amp;L - Pengeluaran</v>
      </c>
      <c r="I95" s="23" t="str">
        <f t="array" ref="I95">_xlfn.XLOOKUP(account.account[account_type],account.account.account_type[name],account.account.account_type[npl group name level 3])</f>
        <v>P&amp;L - Pengeluaran - Pengeluaran</v>
      </c>
      <c r="J95" s="23" t="str">
        <f t="shared" si="1"/>
        <v>65110070 Pajak</v>
      </c>
      <c r="K95" s="30" t="b">
        <v>1</v>
      </c>
      <c r="L95" s="30" t="b">
        <v>1</v>
      </c>
      <c r="M95" s="24"/>
      <c r="N95" s="24"/>
    </row>
    <row r="96">
      <c r="A96" s="20" t="s">
        <v>623</v>
      </c>
      <c r="B96" s="24">
        <v>95.0</v>
      </c>
      <c r="C96" s="25" t="s">
        <v>624</v>
      </c>
      <c r="D96" s="20" t="s">
        <v>625</v>
      </c>
      <c r="E96" s="21" t="s">
        <v>337</v>
      </c>
      <c r="F96" s="24"/>
      <c r="G96" s="24"/>
      <c r="H96" s="23" t="str">
        <f t="array" ref="H96">_xlfn.XLOOKUP(account.account[account_type],account.account.account_type[name],account.account.account_type[npl group name level 2])</f>
        <v>P&amp;L - Pengeluaran</v>
      </c>
      <c r="I96" s="23" t="str">
        <f t="array" ref="I96">_xlfn.XLOOKUP(account.account[account_type],account.account.account_type[name],account.account.account_type[npl group name level 3])</f>
        <v>P&amp;L - Pengeluaran - Pengeluaran</v>
      </c>
      <c r="J96" s="23" t="str">
        <f t="shared" si="1"/>
        <v>65110080 Biaya Pemeliharaan &amp; Perawatan Aset</v>
      </c>
      <c r="K96" s="30" t="b">
        <v>1</v>
      </c>
      <c r="L96" s="30" t="b">
        <v>1</v>
      </c>
      <c r="M96" s="24"/>
      <c r="N96" s="24"/>
    </row>
    <row r="97">
      <c r="A97" s="20" t="s">
        <v>626</v>
      </c>
      <c r="B97" s="24">
        <v>96.0</v>
      </c>
      <c r="C97" s="25" t="s">
        <v>627</v>
      </c>
      <c r="D97" s="20" t="s">
        <v>628</v>
      </c>
      <c r="E97" s="21" t="s">
        <v>337</v>
      </c>
      <c r="F97" s="24"/>
      <c r="G97" s="24"/>
      <c r="H97" s="23" t="str">
        <f t="array" ref="H97">_xlfn.XLOOKUP(account.account[account_type],account.account.account_type[name],account.account.account_type[npl group name level 2])</f>
        <v>P&amp;L - Pengeluaran</v>
      </c>
      <c r="I97" s="23" t="str">
        <f t="array" ref="I97">_xlfn.XLOOKUP(account.account[account_type],account.account.account_type[name],account.account.account_type[npl group name level 3])</f>
        <v>P&amp;L - Pengeluaran - Pengeluaran</v>
      </c>
      <c r="J97" s="23" t="str">
        <f t="shared" si="1"/>
        <v>65110090 Biaya Pengiriman Dokumen/Barang</v>
      </c>
      <c r="K97" s="30" t="b">
        <v>1</v>
      </c>
      <c r="L97" s="30" t="b">
        <v>1</v>
      </c>
      <c r="M97" s="24"/>
      <c r="N97" s="24"/>
    </row>
    <row r="98">
      <c r="A98" s="20" t="s">
        <v>629</v>
      </c>
      <c r="B98" s="24">
        <v>97.0</v>
      </c>
      <c r="C98" s="25" t="s">
        <v>630</v>
      </c>
      <c r="D98" s="20" t="s">
        <v>631</v>
      </c>
      <c r="E98" s="21" t="s">
        <v>337</v>
      </c>
      <c r="F98" s="24"/>
      <c r="G98" s="24"/>
      <c r="H98" s="23" t="str">
        <f t="array" ref="H98">_xlfn.XLOOKUP(account.account[account_type],account.account.account_type[name],account.account.account_type[npl group name level 2])</f>
        <v>P&amp;L - Pengeluaran</v>
      </c>
      <c r="I98" s="23" t="str">
        <f t="array" ref="I98">_xlfn.XLOOKUP(account.account[account_type],account.account.account_type[name],account.account.account_type[npl group name level 3])</f>
        <v>P&amp;L - Pengeluaran - Pengeluaran</v>
      </c>
      <c r="J98" s="23" t="str">
        <f t="shared" si="1"/>
        <v>66110010 BBM kendaraan</v>
      </c>
      <c r="K98" s="30" t="b">
        <v>1</v>
      </c>
      <c r="L98" s="30" t="b">
        <v>1</v>
      </c>
      <c r="M98" s="24"/>
      <c r="N98" s="24"/>
    </row>
    <row r="99">
      <c r="A99" s="20" t="s">
        <v>632</v>
      </c>
      <c r="B99" s="24">
        <v>98.0</v>
      </c>
      <c r="C99" s="25" t="s">
        <v>633</v>
      </c>
      <c r="D99" s="20" t="s">
        <v>634</v>
      </c>
      <c r="E99" s="21" t="s">
        <v>337</v>
      </c>
      <c r="F99" s="24"/>
      <c r="G99" s="24"/>
      <c r="H99" s="23" t="str">
        <f t="array" ref="H99">_xlfn.XLOOKUP(account.account[account_type],account.account.account_type[name],account.account.account_type[npl group name level 2])</f>
        <v>P&amp;L - Pengeluaran</v>
      </c>
      <c r="I99" s="23" t="str">
        <f t="array" ref="I99">_xlfn.XLOOKUP(account.account[account_type],account.account.account_type[name],account.account.account_type[npl group name level 3])</f>
        <v>P&amp;L - Pengeluaran - Pengeluaran</v>
      </c>
      <c r="J99" s="23" t="str">
        <f t="shared" si="1"/>
        <v>66110020 Service kendaraan</v>
      </c>
      <c r="K99" s="30" t="b">
        <v>1</v>
      </c>
      <c r="L99" s="30" t="b">
        <v>1</v>
      </c>
      <c r="M99" s="24"/>
      <c r="N99" s="24"/>
    </row>
    <row r="100">
      <c r="A100" s="20" t="s">
        <v>635</v>
      </c>
      <c r="B100" s="24">
        <v>99.0</v>
      </c>
      <c r="C100" s="25" t="s">
        <v>636</v>
      </c>
      <c r="D100" s="20" t="s">
        <v>637</v>
      </c>
      <c r="E100" s="21" t="s">
        <v>337</v>
      </c>
      <c r="F100" s="24"/>
      <c r="G100" s="24"/>
      <c r="H100" s="23" t="str">
        <f t="array" ref="H100">_xlfn.XLOOKUP(account.account[account_type],account.account.account_type[name],account.account.account_type[npl group name level 2])</f>
        <v>P&amp;L - Pengeluaran</v>
      </c>
      <c r="I100" s="23" t="str">
        <f t="array" ref="I100">_xlfn.XLOOKUP(account.account[account_type],account.account.account_type[name],account.account.account_type[npl group name level 3])</f>
        <v>P&amp;L - Pengeluaran - Pengeluaran</v>
      </c>
      <c r="J100" s="23" t="str">
        <f t="shared" si="1"/>
        <v>66110030 Parkir &amp; tol kendaraan</v>
      </c>
      <c r="K100" s="30" t="b">
        <v>1</v>
      </c>
      <c r="L100" s="30" t="b">
        <v>1</v>
      </c>
      <c r="M100" s="24"/>
      <c r="N100" s="24"/>
    </row>
    <row r="101">
      <c r="A101" s="20" t="s">
        <v>638</v>
      </c>
      <c r="B101" s="24">
        <v>100.0</v>
      </c>
      <c r="C101" s="25" t="s">
        <v>639</v>
      </c>
      <c r="D101" s="20" t="s">
        <v>640</v>
      </c>
      <c r="E101" s="21" t="s">
        <v>337</v>
      </c>
      <c r="F101" s="24"/>
      <c r="G101" s="24"/>
      <c r="H101" s="23" t="str">
        <f t="array" ref="H101">_xlfn.XLOOKUP(account.account[account_type],account.account.account_type[name],account.account.account_type[npl group name level 2])</f>
        <v>P&amp;L - Pengeluaran</v>
      </c>
      <c r="I101" s="23" t="str">
        <f t="array" ref="I101">_xlfn.XLOOKUP(account.account[account_type],account.account.account_type[name],account.account.account_type[npl group name level 3])</f>
        <v>P&amp;L - Pengeluaran - Pengeluaran</v>
      </c>
      <c r="J101" s="23" t="str">
        <f t="shared" si="1"/>
        <v>66110040 Pajak Kendaraan</v>
      </c>
      <c r="K101" s="30" t="b">
        <v>1</v>
      </c>
      <c r="L101" s="30" t="b">
        <v>1</v>
      </c>
      <c r="M101" s="24"/>
      <c r="N101" s="24"/>
    </row>
    <row r="102">
      <c r="A102" s="20" t="s">
        <v>641</v>
      </c>
      <c r="B102" s="24">
        <v>101.0</v>
      </c>
      <c r="C102" s="25" t="s">
        <v>642</v>
      </c>
      <c r="D102" s="20" t="s">
        <v>643</v>
      </c>
      <c r="E102" s="21" t="s">
        <v>337</v>
      </c>
      <c r="F102" s="24"/>
      <c r="G102" s="24"/>
      <c r="H102" s="23" t="str">
        <f t="array" ref="H102">_xlfn.XLOOKUP(account.account[account_type],account.account.account_type[name],account.account.account_type[npl group name level 2])</f>
        <v>P&amp;L - Pengeluaran</v>
      </c>
      <c r="I102" s="23" t="str">
        <f t="array" ref="I102">_xlfn.XLOOKUP(account.account[account_type],account.account.account_type[name],account.account.account_type[npl group name level 3])</f>
        <v>P&amp;L - Pengeluaran - Pengeluaran</v>
      </c>
      <c r="J102" s="23" t="str">
        <f t="shared" si="1"/>
        <v>66110050 Asuransi Kendaraan</v>
      </c>
      <c r="K102" s="30" t="b">
        <v>1</v>
      </c>
      <c r="L102" s="30" t="b">
        <v>1</v>
      </c>
      <c r="M102" s="24"/>
      <c r="N102" s="24"/>
    </row>
    <row r="103">
      <c r="A103" s="20" t="s">
        <v>644</v>
      </c>
      <c r="B103" s="24">
        <v>102.0</v>
      </c>
      <c r="C103" s="25" t="s">
        <v>645</v>
      </c>
      <c r="D103" s="20" t="s">
        <v>158</v>
      </c>
      <c r="E103" s="21" t="s">
        <v>344</v>
      </c>
      <c r="F103" s="24"/>
      <c r="G103" s="24"/>
      <c r="H103" s="23" t="str">
        <f t="array" ref="H103">_xlfn.XLOOKUP(account.account[account_type],account.account.account_type[name],account.account.account_type[npl group name level 2])</f>
        <v>P&amp;L - Pengeluaran</v>
      </c>
      <c r="I103" s="23" t="str">
        <f t="array" ref="I103">_xlfn.XLOOKUP(account.account[account_type],account.account.account_type[name],account.account.account_type[npl group name level 3])</f>
        <v>P&amp;L - Pengeluaran - Penyusutan</v>
      </c>
      <c r="J103" s="23" t="str">
        <f t="shared" si="1"/>
        <v>67100010 Bangunan Kantor</v>
      </c>
      <c r="K103" s="30" t="b">
        <v>1</v>
      </c>
      <c r="L103" s="30" t="b">
        <v>1</v>
      </c>
      <c r="M103" s="24"/>
      <c r="N103" s="24"/>
    </row>
    <row r="104">
      <c r="A104" s="20" t="s">
        <v>646</v>
      </c>
      <c r="B104" s="24">
        <v>103.0</v>
      </c>
      <c r="C104" s="25" t="s">
        <v>647</v>
      </c>
      <c r="D104" s="20" t="s">
        <v>184</v>
      </c>
      <c r="E104" s="21" t="s">
        <v>344</v>
      </c>
      <c r="F104" s="24"/>
      <c r="G104" s="24"/>
      <c r="H104" s="23" t="str">
        <f t="array" ref="H104">_xlfn.XLOOKUP(account.account[account_type],account.account.account_type[name],account.account.account_type[npl group name level 2])</f>
        <v>P&amp;L - Pengeluaran</v>
      </c>
      <c r="I104" s="23" t="str">
        <f t="array" ref="I104">_xlfn.XLOOKUP(account.account[account_type],account.account.account_type[name],account.account.account_type[npl group name level 3])</f>
        <v>P&amp;L - Pengeluaran - Penyusutan</v>
      </c>
      <c r="J104" s="23" t="str">
        <f t="shared" si="1"/>
        <v>67100020 Kendaraan</v>
      </c>
      <c r="K104" s="30" t="b">
        <v>1</v>
      </c>
      <c r="L104" s="30" t="b">
        <v>1</v>
      </c>
      <c r="M104" s="24"/>
      <c r="N104" s="24"/>
    </row>
    <row r="105">
      <c r="A105" s="20" t="s">
        <v>648</v>
      </c>
      <c r="B105" s="24">
        <v>104.0</v>
      </c>
      <c r="C105" s="25" t="s">
        <v>649</v>
      </c>
      <c r="D105" s="20" t="s">
        <v>209</v>
      </c>
      <c r="E105" s="21" t="s">
        <v>344</v>
      </c>
      <c r="F105" s="24"/>
      <c r="G105" s="24"/>
      <c r="H105" s="23" t="str">
        <f t="array" ref="H105">_xlfn.XLOOKUP(account.account[account_type],account.account.account_type[name],account.account.account_type[npl group name level 2])</f>
        <v>P&amp;L - Pengeluaran</v>
      </c>
      <c r="I105" s="23" t="str">
        <f t="array" ref="I105">_xlfn.XLOOKUP(account.account[account_type],account.account.account_type[name],account.account.account_type[npl group name level 3])</f>
        <v>P&amp;L - Pengeluaran - Penyusutan</v>
      </c>
      <c r="J105" s="23" t="str">
        <f t="shared" si="1"/>
        <v>67100030 Peralatan Kantor</v>
      </c>
      <c r="K105" s="30" t="b">
        <v>1</v>
      </c>
      <c r="L105" s="30" t="b">
        <v>1</v>
      </c>
      <c r="M105" s="24"/>
      <c r="N105" s="24"/>
    </row>
    <row r="106">
      <c r="A106" s="20" t="s">
        <v>650</v>
      </c>
      <c r="B106" s="24">
        <v>105.0</v>
      </c>
      <c r="C106" s="25" t="s">
        <v>651</v>
      </c>
      <c r="D106" s="20" t="s">
        <v>652</v>
      </c>
      <c r="E106" s="21" t="s">
        <v>337</v>
      </c>
      <c r="F106" s="24"/>
      <c r="G106" s="24"/>
      <c r="H106" s="23" t="str">
        <f t="array" ref="H106">_xlfn.XLOOKUP(account.account[account_type],account.account.account_type[name],account.account.account_type[npl group name level 2])</f>
        <v>P&amp;L - Pengeluaran</v>
      </c>
      <c r="I106" s="23" t="str">
        <f t="array" ref="I106">_xlfn.XLOOKUP(account.account[account_type],account.account.account_type[name],account.account.account_type[npl group name level 3])</f>
        <v>P&amp;L - Pengeluaran - Pengeluaran</v>
      </c>
      <c r="J106" s="23" t="str">
        <f t="shared" si="1"/>
        <v>69000000 Biaya Lain-lain</v>
      </c>
      <c r="K106" s="30" t="b">
        <v>1</v>
      </c>
      <c r="L106" s="30" t="b">
        <v>1</v>
      </c>
      <c r="M106" s="24"/>
      <c r="N106" s="24"/>
    </row>
    <row r="107">
      <c r="A107" s="20" t="s">
        <v>653</v>
      </c>
      <c r="B107" s="24">
        <v>106.0</v>
      </c>
      <c r="C107" s="25" t="s">
        <v>654</v>
      </c>
      <c r="D107" s="20" t="s">
        <v>655</v>
      </c>
      <c r="E107" s="21" t="s">
        <v>333</v>
      </c>
      <c r="F107" s="24"/>
      <c r="G107" s="24"/>
      <c r="H107" s="23" t="str">
        <f t="array" ref="H107">_xlfn.XLOOKUP(account.account[account_type],account.account.account_type[name],account.account.account_type[npl group name level 2])</f>
        <v>P&amp;L - Penghasilan</v>
      </c>
      <c r="I107" s="23" t="str">
        <f t="array" ref="I107">_xlfn.XLOOKUP(account.account[account_type],account.account.account_type[name],account.account.account_type[npl group name level 3])</f>
        <v>P&amp;L - Penghasilan - Penghasilan Lainnya</v>
      </c>
      <c r="J107" s="23" t="str">
        <f t="shared" si="1"/>
        <v>81100010 Pendapatan Bunga</v>
      </c>
      <c r="K107" s="30" t="b">
        <v>1</v>
      </c>
      <c r="L107" s="30" t="b">
        <v>1</v>
      </c>
      <c r="M107" s="24"/>
      <c r="N107" s="24"/>
    </row>
    <row r="108">
      <c r="A108" s="20" t="s">
        <v>656</v>
      </c>
      <c r="B108" s="24">
        <v>107.0</v>
      </c>
      <c r="C108" s="25" t="s">
        <v>657</v>
      </c>
      <c r="D108" s="20" t="s">
        <v>658</v>
      </c>
      <c r="E108" s="21" t="s">
        <v>333</v>
      </c>
      <c r="F108" s="24"/>
      <c r="G108" s="24"/>
      <c r="H108" s="23" t="str">
        <f t="array" ref="H108">_xlfn.XLOOKUP(account.account[account_type],account.account.account_type[name],account.account.account_type[npl group name level 2])</f>
        <v>P&amp;L - Penghasilan</v>
      </c>
      <c r="I108" s="23" t="str">
        <f t="array" ref="I108">_xlfn.XLOOKUP(account.account[account_type],account.account.account_type[name],account.account.account_type[npl group name level 3])</f>
        <v>P&amp;L - Penghasilan - Penghasilan Lainnya</v>
      </c>
      <c r="J108" s="23" t="str">
        <f t="shared" si="1"/>
        <v>81100020 Pendapatan Deposit</v>
      </c>
      <c r="K108" s="30" t="b">
        <v>1</v>
      </c>
      <c r="L108" s="30" t="b">
        <v>1</v>
      </c>
      <c r="M108" s="24"/>
      <c r="N108" s="24"/>
    </row>
    <row r="109">
      <c r="A109" s="20" t="s">
        <v>659</v>
      </c>
      <c r="B109" s="24">
        <v>108.0</v>
      </c>
      <c r="C109" s="25" t="s">
        <v>660</v>
      </c>
      <c r="D109" s="20" t="s">
        <v>661</v>
      </c>
      <c r="E109" s="21" t="s">
        <v>333</v>
      </c>
      <c r="F109" s="24"/>
      <c r="G109" s="24"/>
      <c r="H109" s="23" t="str">
        <f t="array" ref="H109">_xlfn.XLOOKUP(account.account[account_type],account.account.account_type[name],account.account.account_type[npl group name level 2])</f>
        <v>P&amp;L - Penghasilan</v>
      </c>
      <c r="I109" s="23" t="str">
        <f t="array" ref="I109">_xlfn.XLOOKUP(account.account[account_type],account.account.account_type[name],account.account.account_type[npl group name level 3])</f>
        <v>P&amp;L - Penghasilan - Penghasilan Lainnya</v>
      </c>
      <c r="J109" s="23" t="str">
        <f t="shared" si="1"/>
        <v>81100030 Keuntungan Selisih Kurs</v>
      </c>
      <c r="K109" s="30" t="b">
        <v>1</v>
      </c>
      <c r="L109" s="30" t="b">
        <v>1</v>
      </c>
      <c r="M109" s="24"/>
      <c r="N109" s="24"/>
    </row>
    <row r="110">
      <c r="A110" s="20" t="s">
        <v>662</v>
      </c>
      <c r="B110" s="24">
        <v>109.0</v>
      </c>
      <c r="C110" s="25" t="s">
        <v>663</v>
      </c>
      <c r="D110" s="20" t="s">
        <v>664</v>
      </c>
      <c r="E110" s="21" t="s">
        <v>333</v>
      </c>
      <c r="F110" s="24"/>
      <c r="G110" s="24"/>
      <c r="H110" s="23" t="str">
        <f t="array" ref="H110">_xlfn.XLOOKUP(account.account[account_type],account.account.account_type[name],account.account.account_type[npl group name level 2])</f>
        <v>P&amp;L - Penghasilan</v>
      </c>
      <c r="I110" s="23" t="str">
        <f t="array" ref="I110">_xlfn.XLOOKUP(account.account[account_type],account.account.account_type[name],account.account.account_type[npl group name level 3])</f>
        <v>P&amp;L - Penghasilan - Penghasilan Lainnya</v>
      </c>
      <c r="J110" s="23" t="str">
        <f t="shared" si="1"/>
        <v>81100040 Pendapatan lainnya</v>
      </c>
      <c r="K110" s="30" t="b">
        <v>1</v>
      </c>
      <c r="L110" s="30" t="b">
        <v>1</v>
      </c>
      <c r="M110" s="24"/>
      <c r="N110" s="24"/>
    </row>
    <row r="111">
      <c r="A111" s="20" t="s">
        <v>665</v>
      </c>
      <c r="B111" s="24">
        <v>110.0</v>
      </c>
      <c r="C111" s="25" t="s">
        <v>666</v>
      </c>
      <c r="D111" s="20" t="s">
        <v>667</v>
      </c>
      <c r="E111" s="21" t="s">
        <v>333</v>
      </c>
      <c r="F111" s="24"/>
      <c r="G111" s="24"/>
      <c r="H111" s="23" t="str">
        <f t="array" ref="H111">_xlfn.XLOOKUP(account.account[account_type],account.account.account_type[name],account.account.account_type[npl group name level 2])</f>
        <v>P&amp;L - Penghasilan</v>
      </c>
      <c r="I111" s="23" t="str">
        <f t="array" ref="I111">_xlfn.XLOOKUP(account.account[account_type],account.account.account_type[name],account.account.account_type[npl group name level 3])</f>
        <v>P&amp;L - Penghasilan - Penghasilan Lainnya</v>
      </c>
      <c r="J111" s="23" t="str">
        <f t="shared" si="1"/>
        <v>81100050 Keuntungan Atas Penjualan Aktiva Tetap</v>
      </c>
      <c r="K111" s="30" t="b">
        <v>1</v>
      </c>
      <c r="L111" s="30" t="b">
        <v>1</v>
      </c>
      <c r="M111" s="24"/>
      <c r="N111" s="24"/>
    </row>
    <row r="112">
      <c r="A112" s="20" t="s">
        <v>668</v>
      </c>
      <c r="B112" s="24">
        <v>111.0</v>
      </c>
      <c r="C112" s="25" t="s">
        <v>669</v>
      </c>
      <c r="D112" s="20" t="s">
        <v>670</v>
      </c>
      <c r="E112" s="21" t="s">
        <v>337</v>
      </c>
      <c r="F112" s="24"/>
      <c r="G112" s="24"/>
      <c r="H112" s="23" t="str">
        <f t="array" ref="H112">_xlfn.XLOOKUP(account.account[account_type],account.account.account_type[name],account.account.account_type[npl group name level 2])</f>
        <v>P&amp;L - Pengeluaran</v>
      </c>
      <c r="I112" s="23" t="str">
        <f t="array" ref="I112">_xlfn.XLOOKUP(account.account[account_type],account.account.account_type[name],account.account.account_type[npl group name level 3])</f>
        <v>P&amp;L - Pengeluaran - Pengeluaran</v>
      </c>
      <c r="J112" s="23" t="str">
        <f t="shared" si="1"/>
        <v>91100010 Beban Bunga</v>
      </c>
      <c r="K112" s="30" t="b">
        <v>1</v>
      </c>
      <c r="L112" s="30" t="b">
        <v>1</v>
      </c>
      <c r="M112" s="24"/>
      <c r="N112" s="24"/>
    </row>
    <row r="113">
      <c r="A113" s="20" t="s">
        <v>671</v>
      </c>
      <c r="B113" s="24">
        <v>112.0</v>
      </c>
      <c r="C113" s="25" t="s">
        <v>672</v>
      </c>
      <c r="D113" s="20" t="s">
        <v>673</v>
      </c>
      <c r="E113" s="21" t="s">
        <v>337</v>
      </c>
      <c r="F113" s="24"/>
      <c r="G113" s="24"/>
      <c r="H113" s="23" t="str">
        <f t="array" ref="H113">_xlfn.XLOOKUP(account.account[account_type],account.account.account_type[name],account.account.account_type[npl group name level 2])</f>
        <v>P&amp;L - Pengeluaran</v>
      </c>
      <c r="I113" s="23" t="str">
        <f t="array" ref="I113">_xlfn.XLOOKUP(account.account[account_type],account.account.account_type[name],account.account.account_type[npl group name level 3])</f>
        <v>P&amp;L - Pengeluaran - Pengeluaran</v>
      </c>
      <c r="J113" s="23" t="str">
        <f t="shared" si="1"/>
        <v>91100020 Kerugian Selisih Kurs</v>
      </c>
      <c r="K113" s="30" t="b">
        <v>1</v>
      </c>
      <c r="L113" s="30" t="b">
        <v>1</v>
      </c>
      <c r="M113" s="24"/>
      <c r="N113" s="24"/>
    </row>
    <row r="114">
      <c r="A114" s="20" t="s">
        <v>674</v>
      </c>
      <c r="B114" s="24">
        <v>113.0</v>
      </c>
      <c r="C114" s="25" t="s">
        <v>675</v>
      </c>
      <c r="D114" s="20" t="s">
        <v>676</v>
      </c>
      <c r="E114" s="21" t="s">
        <v>337</v>
      </c>
      <c r="F114" s="24"/>
      <c r="G114" s="24"/>
      <c r="H114" s="23" t="str">
        <f t="array" ref="H114">_xlfn.XLOOKUP(account.account[account_type],account.account.account_type[name],account.account.account_type[npl group name level 2])</f>
        <v>P&amp;L - Pengeluaran</v>
      </c>
      <c r="I114" s="23" t="str">
        <f t="array" ref="I114">_xlfn.XLOOKUP(account.account[account_type],account.account.account_type[name],account.account.account_type[npl group name level 3])</f>
        <v>P&amp;L - Pengeluaran - Pengeluaran</v>
      </c>
      <c r="J114" s="23" t="str">
        <f t="shared" si="1"/>
        <v>91100030 Kerugian Atas Penjualan Aktiva Tetap</v>
      </c>
      <c r="K114" s="30" t="b">
        <v>1</v>
      </c>
      <c r="L114" s="30" t="b">
        <v>1</v>
      </c>
      <c r="M114" s="24"/>
      <c r="N114" s="24"/>
    </row>
    <row r="115">
      <c r="A115" s="20" t="s">
        <v>677</v>
      </c>
      <c r="B115" s="24">
        <v>114.0</v>
      </c>
      <c r="C115" s="25" t="s">
        <v>678</v>
      </c>
      <c r="D115" s="20" t="s">
        <v>679</v>
      </c>
      <c r="E115" s="21" t="s">
        <v>337</v>
      </c>
      <c r="F115" s="24"/>
      <c r="G115" s="24"/>
      <c r="H115" s="23" t="str">
        <f t="array" ref="H115">_xlfn.XLOOKUP(account.account[account_type],account.account.account_type[name],account.account.account_type[npl group name level 2])</f>
        <v>P&amp;L - Pengeluaran</v>
      </c>
      <c r="I115" s="23" t="str">
        <f t="array" ref="I115">_xlfn.XLOOKUP(account.account[account_type],account.account.account_type[name],account.account.account_type[npl group name level 3])</f>
        <v>P&amp;L - Pengeluaran - Pengeluaran</v>
      </c>
      <c r="J115" s="23" t="str">
        <f t="shared" si="1"/>
        <v>99900001 Kerugian Pendapatan Kas</v>
      </c>
      <c r="K115" s="30" t="b">
        <v>1</v>
      </c>
      <c r="L115" s="30" t="b">
        <v>1</v>
      </c>
      <c r="M115" s="24"/>
      <c r="N115" s="24"/>
    </row>
    <row r="116">
      <c r="A116" s="20" t="s">
        <v>680</v>
      </c>
      <c r="B116" s="24">
        <v>115.0</v>
      </c>
      <c r="C116" s="25" t="s">
        <v>681</v>
      </c>
      <c r="D116" s="20" t="s">
        <v>682</v>
      </c>
      <c r="E116" s="21" t="s">
        <v>325</v>
      </c>
      <c r="F116" s="24"/>
      <c r="G116" s="24"/>
      <c r="H116" s="23" t="str">
        <f t="array" ref="H116">_xlfn.XLOOKUP(account.account[account_type],account.account.account_type[name],account.account.account_type[npl group name level 2])</f>
        <v>P&amp;L - Penghasilan</v>
      </c>
      <c r="I116" s="23" t="str">
        <f t="array" ref="I116">_xlfn.XLOOKUP(account.account[account_type],account.account.account_type[name],account.account.account_type[npl group name level 3])</f>
        <v>P&amp;L - Penghasilan - Penghasilan</v>
      </c>
      <c r="J116" s="23" t="str">
        <f t="shared" si="1"/>
        <v>99900002 Pendapatan Perbedaan Kas</v>
      </c>
      <c r="K116" s="30" t="b">
        <v>1</v>
      </c>
      <c r="L116" s="30" t="b">
        <v>1</v>
      </c>
      <c r="M116" s="24"/>
      <c r="N116" s="24"/>
    </row>
    <row r="117">
      <c r="A117" s="20" t="s">
        <v>683</v>
      </c>
      <c r="B117" s="24">
        <v>116.0</v>
      </c>
      <c r="C117" s="25" t="s">
        <v>684</v>
      </c>
      <c r="D117" s="20" t="s">
        <v>685</v>
      </c>
      <c r="E117" s="21" t="s">
        <v>337</v>
      </c>
      <c r="F117" s="24"/>
      <c r="G117" s="24"/>
      <c r="H117" s="23" t="str">
        <f t="array" ref="H117">_xlfn.XLOOKUP(account.account[account_type],account.account.account_type[name],account.account.account_type[npl group name level 2])</f>
        <v>P&amp;L - Pengeluaran</v>
      </c>
      <c r="I117" s="23" t="str">
        <f t="array" ref="I117">_xlfn.XLOOKUP(account.account[account_type],account.account.account_type[name],account.account.account_type[npl group name level 3])</f>
        <v>P&amp;L - Pengeluaran - Pengeluaran</v>
      </c>
      <c r="J117" s="23" t="str">
        <f t="shared" si="1"/>
        <v>99900003 Beban Diskon Tunai</v>
      </c>
      <c r="K117" s="30" t="b">
        <v>1</v>
      </c>
      <c r="L117" s="30" t="b">
        <v>1</v>
      </c>
      <c r="M117" s="20" t="s">
        <v>686</v>
      </c>
      <c r="N117" s="24"/>
    </row>
    <row r="118">
      <c r="A118" s="20" t="s">
        <v>687</v>
      </c>
      <c r="B118" s="24">
        <v>117.0</v>
      </c>
      <c r="C118" s="25" t="s">
        <v>688</v>
      </c>
      <c r="D118" s="20" t="s">
        <v>689</v>
      </c>
      <c r="E118" s="21" t="s">
        <v>333</v>
      </c>
      <c r="F118" s="24"/>
      <c r="G118" s="24"/>
      <c r="H118" s="23" t="str">
        <f t="array" ref="H118">_xlfn.XLOOKUP(account.account[account_type],account.account.account_type[name],account.account.account_type[npl group name level 2])</f>
        <v>P&amp;L - Penghasilan</v>
      </c>
      <c r="I118" s="23" t="str">
        <f t="array" ref="I118">_xlfn.XLOOKUP(account.account[account_type],account.account.account_type[name],account.account.account_type[npl group name level 3])</f>
        <v>P&amp;L - Penghasilan - Penghasilan Lainnya</v>
      </c>
      <c r="J118" s="23" t="str">
        <f t="shared" si="1"/>
        <v>99900004 Pendapatan Diskon Tunai</v>
      </c>
      <c r="K118" s="30" t="b">
        <v>1</v>
      </c>
      <c r="L118" s="30" t="b">
        <v>1</v>
      </c>
      <c r="M118" s="20" t="s">
        <v>690</v>
      </c>
      <c r="N118" s="24"/>
    </row>
    <row r="119">
      <c r="A119" s="20" t="s">
        <v>691</v>
      </c>
      <c r="B119" s="24">
        <v>118.0</v>
      </c>
      <c r="C119" s="25" t="s">
        <v>692</v>
      </c>
      <c r="D119" s="20" t="s">
        <v>693</v>
      </c>
      <c r="E119" s="21" t="s">
        <v>321</v>
      </c>
      <c r="F119" s="24"/>
      <c r="G119" s="24"/>
      <c r="H119" s="23" t="str">
        <f t="array" ref="H119">_xlfn.XLOOKUP(account.account[account_type],account.account.account_type[name],account.account.account_type[npl group name level 2])</f>
        <v>Neraca - Ekuitas</v>
      </c>
      <c r="I119" s="23" t="str">
        <f t="array" ref="I119">_xlfn.XLOOKUP(account.account[account_type],account.account.account_type[name],account.account.account_type[npl group name level 3])</f>
        <v>Neraca - Ekuitas - Penghasilan Tahun Terkini</v>
      </c>
      <c r="J119" s="23" t="str">
        <f t="shared" si="1"/>
        <v>99999900 Laba/Rugi Belum Dialokasikan</v>
      </c>
      <c r="K119" s="30" t="b">
        <v>1</v>
      </c>
      <c r="L119" s="30" t="b">
        <v>1</v>
      </c>
      <c r="M119" s="24" t="s">
        <v>694</v>
      </c>
      <c r="N119" s="24"/>
    </row>
  </sheetData>
  <dataValidations>
    <dataValidation type="custom" allowBlank="1" showDropDown="1" sqref="F2:G119">
      <formula1>AND(ISNUMBER(F2),(NOT(OR(NOT(ISERROR(DATEVALUE(F2))), AND(ISNUMBER(F2), LEFT(CELL("format", F2))="D")))))</formula1>
    </dataValidation>
    <dataValidation allowBlank="1" showDropDown="1" sqref="C2:C119"/>
    <dataValidation type="list" allowBlank="1" sqref="E2:E11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0"/>
    <col customWidth="1" min="2" max="2" width="12.63"/>
    <col customWidth="1" min="3" max="3" width="16.75"/>
    <col customWidth="1" min="4" max="4" width="12.13"/>
    <col customWidth="1" min="5" max="5" width="9.13"/>
    <col customWidth="1" min="6" max="6" width="22.75"/>
    <col customWidth="1" min="7" max="7" width="16.5"/>
  </cols>
  <sheetData>
    <row r="1">
      <c r="A1" s="14" t="s">
        <v>39</v>
      </c>
      <c r="B1" s="14" t="s">
        <v>71</v>
      </c>
      <c r="C1" s="14" t="s">
        <v>2</v>
      </c>
      <c r="D1" s="14" t="s">
        <v>72</v>
      </c>
      <c r="E1" s="14" t="s">
        <v>47</v>
      </c>
      <c r="F1" s="22" t="s">
        <v>73</v>
      </c>
      <c r="G1" s="22" t="s">
        <v>74</v>
      </c>
    </row>
    <row r="2">
      <c r="A2" s="26" t="s">
        <v>75</v>
      </c>
      <c r="B2" s="26">
        <v>7.0</v>
      </c>
      <c r="C2" s="26" t="s">
        <v>76</v>
      </c>
      <c r="D2" s="27" t="s">
        <v>76</v>
      </c>
      <c r="E2" s="26" t="s">
        <v>78</v>
      </c>
      <c r="F2" s="27" t="s">
        <v>79</v>
      </c>
      <c r="G2" s="27" t="s">
        <v>81</v>
      </c>
    </row>
    <row r="3">
      <c r="A3" s="26" t="s">
        <v>89</v>
      </c>
      <c r="B3" s="26">
        <v>10.0</v>
      </c>
      <c r="C3" s="26" t="s">
        <v>69</v>
      </c>
      <c r="D3" s="27" t="s">
        <v>69</v>
      </c>
      <c r="E3" s="26" t="s">
        <v>90</v>
      </c>
      <c r="F3" s="27" t="s">
        <v>91</v>
      </c>
      <c r="G3" s="27" t="s">
        <v>81</v>
      </c>
    </row>
    <row r="4">
      <c r="A4" s="20" t="s">
        <v>93</v>
      </c>
      <c r="B4" s="20">
        <v>11.0</v>
      </c>
      <c r="C4" s="20" t="s">
        <v>94</v>
      </c>
      <c r="D4" s="21" t="s">
        <v>96</v>
      </c>
      <c r="E4" s="20" t="s">
        <v>98</v>
      </c>
      <c r="F4" s="31"/>
      <c r="G4" s="27" t="s">
        <v>81</v>
      </c>
    </row>
  </sheetData>
  <dataValidations>
    <dataValidation type="list" allowBlank="1" sqref="G2:G4">
      <formula1>"file_import"</formula1>
    </dataValidation>
    <dataValidation type="list" allowBlank="1" sqref="D2:D4">
      <formula1>"Bank,Kas,Lain-lain"</formula1>
    </dataValidation>
    <dataValidation type="list" allowBlank="1" sqref="F2:F4">
      <formula1>#REF!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38"/>
    <col customWidth="1" min="2" max="2" width="14.75"/>
    <col customWidth="1" min="4" max="4" width="21.5"/>
    <col customWidth="1" min="5" max="5" width="32.5"/>
    <col customWidth="1" min="6" max="6" width="18.75"/>
    <col customWidth="1" min="7" max="7" width="16.0"/>
    <col customWidth="1" min="8" max="8" width="20.75"/>
  </cols>
  <sheetData>
    <row r="1">
      <c r="A1" s="13" t="s">
        <v>39</v>
      </c>
      <c r="B1" s="13" t="s">
        <v>77</v>
      </c>
      <c r="C1" s="13" t="s">
        <v>80</v>
      </c>
      <c r="D1" s="13" t="s">
        <v>82</v>
      </c>
      <c r="E1" s="13" t="s">
        <v>83</v>
      </c>
      <c r="F1" s="13" t="s">
        <v>84</v>
      </c>
      <c r="G1" s="13" t="s">
        <v>85</v>
      </c>
      <c r="H1" s="13" t="s">
        <v>86</v>
      </c>
    </row>
    <row r="2">
      <c r="A2" s="20" t="s">
        <v>87</v>
      </c>
      <c r="B2" s="20" t="s">
        <v>88</v>
      </c>
      <c r="C2" s="28"/>
      <c r="D2" s="20" t="s">
        <v>76</v>
      </c>
      <c r="E2" s="21" t="s">
        <v>79</v>
      </c>
      <c r="F2" s="29">
        <v>140000.0</v>
      </c>
      <c r="G2" s="29"/>
      <c r="H2" s="20" t="s">
        <v>92</v>
      </c>
    </row>
    <row r="3">
      <c r="A3" s="20" t="s">
        <v>95</v>
      </c>
      <c r="B3" s="20" t="s">
        <v>97</v>
      </c>
      <c r="C3" s="28"/>
      <c r="D3" s="20" t="s">
        <v>69</v>
      </c>
      <c r="E3" s="21" t="s">
        <v>91</v>
      </c>
      <c r="F3" s="29">
        <v>123000.0</v>
      </c>
      <c r="G3" s="29"/>
      <c r="H3" s="20" t="s">
        <v>99</v>
      </c>
    </row>
  </sheetData>
  <dataValidations>
    <dataValidation type="custom" allowBlank="1" showDropDown="1" sqref="F2:G3">
      <formula1>AND(ISNUMBER(F2),(NOT(OR(NOT(ISERROR(DATEVALUE(F2))), AND(ISNUMBER(F2), LEFT(CELL("format", F2))="D")))))</formula1>
    </dataValidation>
    <dataValidation allowBlank="1" showDropDown="1" sqref="H2:H3"/>
    <dataValidation type="list" allowBlank="1" sqref="E2:E3">
      <formula1>#REF!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38"/>
    <col customWidth="1" min="2" max="2" width="14.75"/>
    <col customWidth="1" min="4" max="4" width="21.5"/>
    <col customWidth="1" min="5" max="5" width="32.5"/>
    <col customWidth="1" min="6" max="6" width="18.75"/>
    <col customWidth="1" min="7" max="7" width="16.0"/>
    <col customWidth="1" min="8" max="8" width="20.75"/>
    <col customWidth="1" min="9" max="9" width="27.63"/>
    <col customWidth="1" min="10" max="10" width="25.13"/>
  </cols>
  <sheetData>
    <row r="1">
      <c r="A1" s="14" t="s">
        <v>39</v>
      </c>
      <c r="B1" s="14" t="s">
        <v>77</v>
      </c>
      <c r="C1" s="14" t="s">
        <v>80</v>
      </c>
      <c r="D1" s="14" t="s">
        <v>82</v>
      </c>
      <c r="E1" s="13" t="s">
        <v>83</v>
      </c>
      <c r="F1" s="13" t="s">
        <v>84</v>
      </c>
      <c r="G1" s="13" t="s">
        <v>85</v>
      </c>
      <c r="H1" s="13" t="s">
        <v>86</v>
      </c>
      <c r="I1" s="13" t="s">
        <v>103</v>
      </c>
      <c r="J1" s="13" t="s">
        <v>104</v>
      </c>
    </row>
    <row r="2">
      <c r="A2" s="20" t="s">
        <v>105</v>
      </c>
      <c r="B2" s="20" t="s">
        <v>106</v>
      </c>
      <c r="C2" s="28"/>
      <c r="D2" s="20" t="s">
        <v>107</v>
      </c>
      <c r="E2" s="21" t="s">
        <v>108</v>
      </c>
      <c r="F2" s="32"/>
      <c r="G2" s="29">
        <v>8.35162022E8</v>
      </c>
      <c r="H2" s="20" t="s">
        <v>109</v>
      </c>
      <c r="I2" s="21" t="s">
        <v>112</v>
      </c>
      <c r="J2" s="28">
        <v>45264.0</v>
      </c>
    </row>
    <row r="3">
      <c r="E3" s="21" t="s">
        <v>108</v>
      </c>
      <c r="F3" s="32"/>
      <c r="G3" s="29">
        <v>4.574270481E8</v>
      </c>
      <c r="H3" s="20" t="s">
        <v>116</v>
      </c>
      <c r="I3" s="21" t="s">
        <v>117</v>
      </c>
      <c r="J3" s="28">
        <v>44840.0</v>
      </c>
    </row>
    <row r="4">
      <c r="E4" s="21" t="s">
        <v>108</v>
      </c>
      <c r="F4" s="32"/>
      <c r="G4" s="29">
        <v>2.1218131E8</v>
      </c>
      <c r="H4" s="20" t="s">
        <v>122</v>
      </c>
      <c r="I4" s="21" t="s">
        <v>123</v>
      </c>
      <c r="J4" s="28">
        <v>44869.0</v>
      </c>
    </row>
    <row r="5">
      <c r="E5" s="21" t="s">
        <v>108</v>
      </c>
      <c r="F5" s="32"/>
      <c r="G5" s="29">
        <v>2.800919E8</v>
      </c>
      <c r="H5" s="20" t="s">
        <v>124</v>
      </c>
      <c r="I5" s="21" t="s">
        <v>125</v>
      </c>
      <c r="J5" s="28">
        <v>44851.0</v>
      </c>
    </row>
    <row r="6">
      <c r="E6" s="21" t="s">
        <v>108</v>
      </c>
      <c r="F6" s="32"/>
      <c r="G6" s="29">
        <v>3.128550538E7</v>
      </c>
      <c r="H6" s="20" t="s">
        <v>131</v>
      </c>
      <c r="I6" s="21" t="s">
        <v>132</v>
      </c>
      <c r="J6" s="28">
        <v>44728.0</v>
      </c>
    </row>
    <row r="7">
      <c r="E7" s="21" t="s">
        <v>129</v>
      </c>
      <c r="F7" s="32">
        <v>1.81614778548E9</v>
      </c>
      <c r="G7" s="29"/>
      <c r="H7" s="20"/>
      <c r="I7" s="21"/>
      <c r="J7" s="28"/>
    </row>
  </sheetData>
  <dataValidations>
    <dataValidation type="custom" allowBlank="1" showDropDown="1" sqref="J2:J7">
      <formula1>OR(NOT(ISERROR(DATEVALUE(J2))), AND(ISNUMBER(J2), LEFT(CELL("format", J2))="D"))</formula1>
    </dataValidation>
    <dataValidation type="custom" allowBlank="1" showDropDown="1" sqref="F2:G7">
      <formula1>AND(ISNUMBER(F2),(NOT(OR(NOT(ISERROR(DATEVALUE(F2))), AND(ISNUMBER(F2), LEFT(CELL("format", F2))="D")))))</formula1>
    </dataValidation>
    <dataValidation allowBlank="1" showDropDown="1" sqref="H2:H7"/>
    <dataValidation type="list" allowBlank="1" sqref="E2:E7 I2:I7">
      <formula1>#REF!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38"/>
    <col customWidth="1" min="2" max="2" width="16.75"/>
    <col customWidth="1" min="3" max="3" width="10.63"/>
    <col customWidth="1" min="4" max="4" width="21.5"/>
    <col customWidth="1" min="5" max="5" width="26.88"/>
    <col customWidth="1" min="6" max="6" width="18.75"/>
    <col customWidth="1" min="7" max="7" width="19.25"/>
    <col customWidth="1" min="8" max="8" width="19.63"/>
    <col customWidth="1" min="9" max="9" width="31.75"/>
    <col customWidth="1" min="10" max="10" width="25.13"/>
  </cols>
  <sheetData>
    <row r="1">
      <c r="A1" s="14" t="s">
        <v>39</v>
      </c>
      <c r="B1" s="14" t="s">
        <v>77</v>
      </c>
      <c r="C1" s="14" t="s">
        <v>80</v>
      </c>
      <c r="D1" s="14" t="s">
        <v>82</v>
      </c>
      <c r="E1" s="13" t="s">
        <v>83</v>
      </c>
      <c r="F1" s="13" t="s">
        <v>84</v>
      </c>
      <c r="G1" s="13" t="s">
        <v>85</v>
      </c>
      <c r="H1" s="13" t="s">
        <v>86</v>
      </c>
      <c r="I1" s="13" t="s">
        <v>103</v>
      </c>
      <c r="J1" s="13" t="s">
        <v>104</v>
      </c>
    </row>
    <row r="2">
      <c r="A2" s="20" t="s">
        <v>110</v>
      </c>
      <c r="B2" s="20" t="s">
        <v>111</v>
      </c>
      <c r="C2" s="28"/>
      <c r="D2" s="20" t="s">
        <v>107</v>
      </c>
      <c r="E2" s="21" t="s">
        <v>113</v>
      </c>
      <c r="F2" s="29">
        <v>1.8E7</v>
      </c>
      <c r="G2" s="32"/>
      <c r="H2" s="33" t="s">
        <v>114</v>
      </c>
      <c r="I2" s="21" t="s">
        <v>115</v>
      </c>
      <c r="J2" s="28">
        <v>45243.0</v>
      </c>
    </row>
    <row r="3">
      <c r="E3" s="21" t="s">
        <v>113</v>
      </c>
      <c r="F3" s="29">
        <v>5.26867265E8</v>
      </c>
      <c r="G3" s="32"/>
      <c r="H3" s="33" t="s">
        <v>120</v>
      </c>
      <c r="I3" s="21" t="s">
        <v>121</v>
      </c>
      <c r="J3" s="28">
        <v>44714.0</v>
      </c>
    </row>
    <row r="4">
      <c r="E4" s="21" t="s">
        <v>113</v>
      </c>
      <c r="F4" s="29">
        <v>1.3209E8</v>
      </c>
      <c r="G4" s="32"/>
      <c r="H4" s="33" t="s">
        <v>126</v>
      </c>
      <c r="I4" s="21" t="s">
        <v>127</v>
      </c>
      <c r="J4" s="28">
        <v>45231.0</v>
      </c>
    </row>
    <row r="5">
      <c r="E5" s="21" t="s">
        <v>129</v>
      </c>
      <c r="F5" s="29"/>
      <c r="G5" s="32">
        <v>6.76957265E8</v>
      </c>
      <c r="H5" s="33"/>
      <c r="I5" s="21"/>
      <c r="J5" s="28"/>
    </row>
  </sheetData>
  <dataValidations>
    <dataValidation type="custom" allowBlank="1" showDropDown="1" sqref="J2:J5">
      <formula1>OR(NOT(ISERROR(DATEVALUE(J2))), AND(ISNUMBER(J2), LEFT(CELL("format", J2))="D"))</formula1>
    </dataValidation>
    <dataValidation type="custom" allowBlank="1" showDropDown="1" sqref="F2:G5">
      <formula1>AND(ISNUMBER(F2),(NOT(OR(NOT(ISERROR(DATEVALUE(F2))), AND(ISNUMBER(F2), LEFT(CELL("format", F2))="D")))))</formula1>
    </dataValidation>
    <dataValidation allowBlank="1" showDropDown="1" sqref="H2:H5"/>
    <dataValidation type="list" allowBlank="1" sqref="E2:E5 I2:I5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5"/>
    <col customWidth="1" min="2" max="2" width="12.0"/>
    <col customWidth="1" min="3" max="3" width="20.88"/>
    <col customWidth="1" min="4" max="4" width="15.63"/>
    <col customWidth="1" min="5" max="5" width="26.63"/>
    <col customWidth="1" min="6" max="6" width="43.88"/>
    <col customWidth="1" min="7" max="7" width="33.75"/>
    <col customWidth="1" min="8" max="8" width="17.63"/>
    <col customWidth="1" min="9" max="9" width="19.88"/>
    <col customWidth="1" min="10" max="10" width="14.5"/>
    <col customWidth="1" min="11" max="11" width="18.88"/>
  </cols>
  <sheetData>
    <row r="1">
      <c r="A1" s="14" t="s">
        <v>39</v>
      </c>
      <c r="B1" s="13" t="s">
        <v>2</v>
      </c>
      <c r="C1" s="13" t="s">
        <v>128</v>
      </c>
      <c r="D1" s="34" t="s">
        <v>130</v>
      </c>
      <c r="E1" s="13" t="s">
        <v>133</v>
      </c>
      <c r="F1" s="13" t="s">
        <v>134</v>
      </c>
      <c r="G1" s="13" t="s">
        <v>135</v>
      </c>
      <c r="H1" s="13" t="s">
        <v>136</v>
      </c>
      <c r="I1" s="14" t="s">
        <v>137</v>
      </c>
      <c r="J1" s="14" t="s">
        <v>138</v>
      </c>
      <c r="K1" s="22" t="s">
        <v>139</v>
      </c>
    </row>
    <row r="2">
      <c r="A2" s="20" t="s">
        <v>140</v>
      </c>
      <c r="B2" s="20" t="s">
        <v>141</v>
      </c>
      <c r="C2" s="28">
        <v>46023.0</v>
      </c>
      <c r="D2" s="29">
        <v>2000000.0</v>
      </c>
      <c r="E2" s="21" t="s">
        <v>142</v>
      </c>
      <c r="F2" s="27" t="s">
        <v>143</v>
      </c>
      <c r="G2" s="27" t="s">
        <v>144</v>
      </c>
      <c r="H2" s="20">
        <v>60.0</v>
      </c>
      <c r="I2" s="21" t="s">
        <v>145</v>
      </c>
      <c r="J2" s="21" t="s">
        <v>147</v>
      </c>
      <c r="K2" s="27" t="s">
        <v>94</v>
      </c>
    </row>
    <row r="3">
      <c r="A3" s="20" t="s">
        <v>151</v>
      </c>
      <c r="B3" s="26" t="s">
        <v>152</v>
      </c>
      <c r="C3" s="35">
        <v>46023.0</v>
      </c>
      <c r="D3" s="24">
        <v>300000.0</v>
      </c>
      <c r="E3" s="27" t="s">
        <v>142</v>
      </c>
      <c r="F3" s="27" t="s">
        <v>143</v>
      </c>
      <c r="G3" s="27" t="s">
        <v>144</v>
      </c>
      <c r="H3" s="26">
        <v>40.0</v>
      </c>
      <c r="I3" s="27" t="s">
        <v>145</v>
      </c>
      <c r="J3" s="27" t="s">
        <v>147</v>
      </c>
      <c r="K3" s="27" t="s">
        <v>94</v>
      </c>
    </row>
    <row r="4">
      <c r="D4" s="36"/>
    </row>
    <row r="5">
      <c r="D5" s="36"/>
    </row>
    <row r="6">
      <c r="D6" s="36"/>
    </row>
    <row r="7">
      <c r="D7" s="36"/>
    </row>
    <row r="8">
      <c r="D8" s="36"/>
    </row>
  </sheetData>
  <dataValidations>
    <dataValidation type="list" allowBlank="1" sqref="J2:J3">
      <formula1>"Garis Lurus"</formula1>
    </dataValidation>
    <dataValidation type="custom" allowBlank="1" showDropDown="1" sqref="C2:C3">
      <formula1>OR(NOT(ISERROR(DATEVALUE(C2))), AND(ISNUMBER(C2), LEFT(CELL("format", C2))="D"))</formula1>
    </dataValidation>
    <dataValidation type="list" allowBlank="1" sqref="I2:I3">
      <formula1>"Bulan"</formula1>
    </dataValidation>
    <dataValidation type="custom" allowBlank="1" showDropDown="1" sqref="D2:D3">
      <formula1>AND(ISNUMBER(D2),(NOT(OR(NOT(ISERROR(DATEVALUE(D2))), AND(ISNUMBER(D2), LEFT(CELL("format", D2))="D")))))</formula1>
    </dataValidation>
    <dataValidation type="list" allowBlank="1" sqref="E2:G3 K2:K3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0"/>
    <col customWidth="1" min="2" max="2" width="15.0"/>
    <col customWidth="1" min="3" max="3" width="26.63"/>
    <col customWidth="1" min="4" max="4" width="37.63"/>
    <col customWidth="1" min="5" max="5" width="33.75"/>
    <col customWidth="1" min="6" max="6" width="14.5"/>
    <col customWidth="1" min="7" max="7" width="17.63"/>
    <col customWidth="1" min="8" max="8" width="19.88"/>
    <col customWidth="1" min="9" max="9" width="18.88"/>
  </cols>
  <sheetData>
    <row r="1">
      <c r="A1" s="14" t="s">
        <v>39</v>
      </c>
      <c r="B1" s="14" t="s">
        <v>2</v>
      </c>
      <c r="C1" s="14" t="s">
        <v>133</v>
      </c>
      <c r="D1" s="14" t="s">
        <v>134</v>
      </c>
      <c r="E1" s="14" t="s">
        <v>135</v>
      </c>
      <c r="F1" s="14" t="s">
        <v>138</v>
      </c>
      <c r="G1" s="14" t="s">
        <v>136</v>
      </c>
      <c r="H1" s="14" t="s">
        <v>137</v>
      </c>
      <c r="I1" s="22" t="s">
        <v>139</v>
      </c>
    </row>
    <row r="2">
      <c r="A2" s="20" t="s">
        <v>156</v>
      </c>
      <c r="B2" s="20" t="s">
        <v>158</v>
      </c>
      <c r="C2" s="21" t="s">
        <v>160</v>
      </c>
      <c r="D2" s="21" t="s">
        <v>162</v>
      </c>
      <c r="E2" s="21" t="s">
        <v>164</v>
      </c>
      <c r="F2" s="21" t="s">
        <v>147</v>
      </c>
      <c r="G2" s="20">
        <v>60.0</v>
      </c>
      <c r="H2" s="21" t="s">
        <v>145</v>
      </c>
      <c r="I2" s="27" t="s">
        <v>94</v>
      </c>
    </row>
    <row r="3">
      <c r="A3" s="20" t="s">
        <v>181</v>
      </c>
      <c r="B3" s="26" t="s">
        <v>184</v>
      </c>
      <c r="C3" s="27" t="s">
        <v>185</v>
      </c>
      <c r="D3" s="27" t="s">
        <v>189</v>
      </c>
      <c r="E3" s="27" t="s">
        <v>192</v>
      </c>
      <c r="F3" s="27" t="s">
        <v>147</v>
      </c>
      <c r="G3" s="26">
        <v>60.0</v>
      </c>
      <c r="H3" s="27" t="s">
        <v>145</v>
      </c>
      <c r="I3" s="27" t="s">
        <v>94</v>
      </c>
    </row>
    <row r="4">
      <c r="A4" s="20" t="s">
        <v>206</v>
      </c>
      <c r="B4" s="26" t="s">
        <v>209</v>
      </c>
      <c r="C4" s="27" t="s">
        <v>142</v>
      </c>
      <c r="D4" s="27" t="s">
        <v>143</v>
      </c>
      <c r="E4" s="27" t="s">
        <v>144</v>
      </c>
      <c r="F4" s="27" t="s">
        <v>147</v>
      </c>
      <c r="G4" s="26">
        <v>60.0</v>
      </c>
      <c r="H4" s="27" t="s">
        <v>145</v>
      </c>
      <c r="I4" s="27" t="s">
        <v>94</v>
      </c>
    </row>
  </sheetData>
  <dataValidations>
    <dataValidation type="list" allowBlank="1" sqref="F2:F4">
      <formula1>"Garis Lurus"</formula1>
    </dataValidation>
    <dataValidation type="list" allowBlank="1" sqref="H2:H4">
      <formula1>"Bulan"</formula1>
    </dataValidation>
    <dataValidation type="list" allowBlank="1" sqref="C2:E4 I2:I4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25"/>
    <col customWidth="1" min="2" max="2" width="17.0"/>
    <col customWidth="1" min="3" max="3" width="4.75"/>
    <col customWidth="1" min="4" max="4" width="13.13"/>
  </cols>
  <sheetData>
    <row r="1">
      <c r="A1" s="14" t="s">
        <v>39</v>
      </c>
      <c r="B1" s="14" t="s">
        <v>2</v>
      </c>
      <c r="C1" s="14" t="s">
        <v>47</v>
      </c>
      <c r="D1" s="14" t="s">
        <v>51</v>
      </c>
    </row>
    <row r="2">
      <c r="A2" s="20" t="s">
        <v>153</v>
      </c>
      <c r="B2" s="20" t="s">
        <v>154</v>
      </c>
      <c r="C2" s="20" t="s">
        <v>155</v>
      </c>
      <c r="D2" s="20" t="s">
        <v>13</v>
      </c>
    </row>
    <row r="3">
      <c r="A3" s="20" t="s">
        <v>157</v>
      </c>
      <c r="B3" s="20" t="s">
        <v>159</v>
      </c>
      <c r="C3" s="20" t="s">
        <v>161</v>
      </c>
      <c r="D3" s="20" t="s">
        <v>13</v>
      </c>
    </row>
    <row r="4">
      <c r="A4" s="20" t="s">
        <v>163</v>
      </c>
      <c r="B4" s="20" t="s">
        <v>165</v>
      </c>
      <c r="C4" s="20" t="s">
        <v>166</v>
      </c>
      <c r="D4" s="20" t="s">
        <v>13</v>
      </c>
    </row>
    <row r="5">
      <c r="A5" s="20" t="s">
        <v>167</v>
      </c>
      <c r="B5" s="20" t="s">
        <v>168</v>
      </c>
      <c r="C5" s="20" t="s">
        <v>169</v>
      </c>
      <c r="D5" s="20" t="s">
        <v>13</v>
      </c>
    </row>
    <row r="6">
      <c r="A6" s="20" t="s">
        <v>170</v>
      </c>
      <c r="B6" s="20" t="s">
        <v>171</v>
      </c>
      <c r="C6" s="20" t="s">
        <v>172</v>
      </c>
      <c r="D6" s="20" t="s">
        <v>13</v>
      </c>
    </row>
    <row r="7">
      <c r="A7" s="20" t="s">
        <v>173</v>
      </c>
      <c r="B7" s="20" t="s">
        <v>174</v>
      </c>
      <c r="C7" s="20" t="s">
        <v>175</v>
      </c>
      <c r="D7" s="20" t="s">
        <v>13</v>
      </c>
    </row>
    <row r="8">
      <c r="A8" s="20" t="s">
        <v>176</v>
      </c>
      <c r="B8" s="20" t="s">
        <v>177</v>
      </c>
      <c r="C8" s="20" t="s">
        <v>178</v>
      </c>
      <c r="D8" s="20" t="s">
        <v>13</v>
      </c>
    </row>
    <row r="9">
      <c r="A9" s="20" t="s">
        <v>180</v>
      </c>
      <c r="B9" s="20" t="s">
        <v>182</v>
      </c>
      <c r="C9" s="20" t="s">
        <v>183</v>
      </c>
      <c r="D9" s="20" t="s">
        <v>13</v>
      </c>
    </row>
    <row r="10">
      <c r="A10" s="20" t="s">
        <v>186</v>
      </c>
      <c r="B10" s="20" t="s">
        <v>188</v>
      </c>
      <c r="C10" s="20" t="s">
        <v>191</v>
      </c>
      <c r="D10" s="20" t="s">
        <v>13</v>
      </c>
    </row>
    <row r="11">
      <c r="A11" s="20" t="s">
        <v>193</v>
      </c>
      <c r="B11" s="20" t="s">
        <v>194</v>
      </c>
      <c r="C11" s="20" t="s">
        <v>195</v>
      </c>
      <c r="D11" s="20" t="s">
        <v>13</v>
      </c>
    </row>
    <row r="12">
      <c r="A12" s="20" t="s">
        <v>196</v>
      </c>
      <c r="B12" s="20" t="s">
        <v>197</v>
      </c>
      <c r="C12" s="20" t="s">
        <v>198</v>
      </c>
      <c r="D12" s="20" t="s">
        <v>13</v>
      </c>
    </row>
    <row r="13">
      <c r="A13" s="20" t="s">
        <v>199</v>
      </c>
      <c r="B13" s="20" t="s">
        <v>200</v>
      </c>
      <c r="C13" s="20" t="s">
        <v>201</v>
      </c>
      <c r="D13" s="20" t="s">
        <v>13</v>
      </c>
    </row>
    <row r="14">
      <c r="A14" s="20" t="s">
        <v>202</v>
      </c>
      <c r="B14" s="20" t="s">
        <v>203</v>
      </c>
      <c r="C14" s="20" t="s">
        <v>204</v>
      </c>
      <c r="D14" s="20" t="s">
        <v>13</v>
      </c>
    </row>
    <row r="15">
      <c r="A15" s="20" t="s">
        <v>205</v>
      </c>
      <c r="B15" s="20" t="s">
        <v>207</v>
      </c>
      <c r="C15" s="20" t="s">
        <v>208</v>
      </c>
      <c r="D15" s="20" t="s">
        <v>13</v>
      </c>
    </row>
    <row r="16">
      <c r="A16" s="20" t="s">
        <v>210</v>
      </c>
      <c r="B16" s="20" t="s">
        <v>211</v>
      </c>
      <c r="C16" s="20" t="s">
        <v>212</v>
      </c>
      <c r="D16" s="20" t="s">
        <v>13</v>
      </c>
    </row>
    <row r="17">
      <c r="A17" s="20" t="s">
        <v>213</v>
      </c>
      <c r="B17" s="20" t="s">
        <v>214</v>
      </c>
      <c r="C17" s="20" t="s">
        <v>215</v>
      </c>
      <c r="D17" s="20" t="s">
        <v>13</v>
      </c>
    </row>
    <row r="18">
      <c r="A18" s="20" t="s">
        <v>216</v>
      </c>
      <c r="B18" s="20" t="s">
        <v>217</v>
      </c>
      <c r="C18" s="20" t="s">
        <v>218</v>
      </c>
      <c r="D18" s="20" t="s">
        <v>13</v>
      </c>
    </row>
    <row r="19">
      <c r="A19" s="20" t="s">
        <v>219</v>
      </c>
      <c r="B19" s="20" t="s">
        <v>220</v>
      </c>
      <c r="C19" s="20" t="s">
        <v>221</v>
      </c>
      <c r="D19" s="20" t="s">
        <v>13</v>
      </c>
    </row>
    <row r="20">
      <c r="A20" s="20" t="s">
        <v>222</v>
      </c>
      <c r="B20" s="20" t="s">
        <v>223</v>
      </c>
      <c r="C20" s="20" t="s">
        <v>224</v>
      </c>
      <c r="D20" s="20" t="s">
        <v>13</v>
      </c>
    </row>
    <row r="21">
      <c r="A21" s="20" t="s">
        <v>225</v>
      </c>
      <c r="B21" s="20" t="s">
        <v>226</v>
      </c>
      <c r="C21" s="20" t="s">
        <v>227</v>
      </c>
      <c r="D21" s="20" t="s">
        <v>13</v>
      </c>
    </row>
    <row r="22">
      <c r="A22" s="20" t="s">
        <v>228</v>
      </c>
      <c r="B22" s="20" t="s">
        <v>230</v>
      </c>
      <c r="C22" s="20" t="s">
        <v>231</v>
      </c>
      <c r="D22" s="20" t="s">
        <v>13</v>
      </c>
    </row>
    <row r="23">
      <c r="A23" s="20" t="s">
        <v>233</v>
      </c>
      <c r="B23" s="20" t="s">
        <v>234</v>
      </c>
      <c r="C23" s="20" t="s">
        <v>236</v>
      </c>
      <c r="D23" s="20" t="s">
        <v>13</v>
      </c>
    </row>
    <row r="24">
      <c r="A24" s="20" t="s">
        <v>237</v>
      </c>
      <c r="B24" s="20" t="s">
        <v>238</v>
      </c>
      <c r="C24" s="20" t="s">
        <v>239</v>
      </c>
      <c r="D24" s="20" t="s">
        <v>13</v>
      </c>
    </row>
    <row r="25">
      <c r="A25" s="20" t="s">
        <v>240</v>
      </c>
      <c r="B25" s="20" t="s">
        <v>241</v>
      </c>
      <c r="C25" s="20" t="s">
        <v>242</v>
      </c>
      <c r="D25" s="20" t="s">
        <v>13</v>
      </c>
    </row>
    <row r="26">
      <c r="A26" s="20" t="s">
        <v>243</v>
      </c>
      <c r="B26" s="20" t="s">
        <v>244</v>
      </c>
      <c r="C26" s="20" t="s">
        <v>245</v>
      </c>
      <c r="D26" s="20" t="s">
        <v>13</v>
      </c>
    </row>
    <row r="27">
      <c r="A27" s="20" t="s">
        <v>247</v>
      </c>
      <c r="B27" s="20" t="s">
        <v>249</v>
      </c>
      <c r="C27" s="20" t="s">
        <v>250</v>
      </c>
      <c r="D27" s="20" t="s">
        <v>13</v>
      </c>
    </row>
    <row r="28">
      <c r="A28" s="20" t="s">
        <v>251</v>
      </c>
      <c r="B28" s="20" t="s">
        <v>252</v>
      </c>
      <c r="C28" s="20" t="s">
        <v>253</v>
      </c>
      <c r="D28" s="20" t="s">
        <v>13</v>
      </c>
    </row>
    <row r="29">
      <c r="A29" s="20" t="s">
        <v>255</v>
      </c>
      <c r="B29" s="20" t="s">
        <v>256</v>
      </c>
      <c r="C29" s="20" t="s">
        <v>258</v>
      </c>
      <c r="D29" s="20" t="s">
        <v>13</v>
      </c>
    </row>
    <row r="30">
      <c r="A30" s="20" t="s">
        <v>260</v>
      </c>
      <c r="B30" s="20" t="s">
        <v>261</v>
      </c>
      <c r="C30" s="20" t="s">
        <v>263</v>
      </c>
      <c r="D30" s="20" t="s">
        <v>13</v>
      </c>
    </row>
    <row r="31">
      <c r="A31" s="20" t="s">
        <v>265</v>
      </c>
      <c r="B31" s="20" t="s">
        <v>267</v>
      </c>
      <c r="C31" s="20" t="s">
        <v>268</v>
      </c>
      <c r="D31" s="20" t="s">
        <v>13</v>
      </c>
    </row>
    <row r="32">
      <c r="A32" s="20" t="s">
        <v>269</v>
      </c>
      <c r="B32" s="20" t="s">
        <v>270</v>
      </c>
      <c r="C32" s="20" t="s">
        <v>271</v>
      </c>
      <c r="D32" s="20" t="s">
        <v>13</v>
      </c>
    </row>
    <row r="33">
      <c r="A33" s="20" t="s">
        <v>272</v>
      </c>
      <c r="B33" s="20" t="s">
        <v>273</v>
      </c>
      <c r="C33" s="20" t="s">
        <v>274</v>
      </c>
      <c r="D33" s="20" t="s">
        <v>13</v>
      </c>
    </row>
    <row r="34">
      <c r="A34" s="20" t="s">
        <v>275</v>
      </c>
      <c r="B34" s="20" t="s">
        <v>276</v>
      </c>
      <c r="C34" s="20" t="s">
        <v>277</v>
      </c>
      <c r="D34" s="20" t="s">
        <v>13</v>
      </c>
    </row>
    <row r="35">
      <c r="A35" s="20" t="s">
        <v>278</v>
      </c>
      <c r="B35" s="20" t="s">
        <v>280</v>
      </c>
      <c r="C35" s="20" t="s">
        <v>281</v>
      </c>
      <c r="D35" s="20" t="s">
        <v>13</v>
      </c>
    </row>
    <row r="36">
      <c r="A36" s="20" t="s">
        <v>282</v>
      </c>
      <c r="B36" s="20" t="s">
        <v>284</v>
      </c>
      <c r="C36" s="20" t="s">
        <v>285</v>
      </c>
      <c r="D36" s="20" t="s">
        <v>13</v>
      </c>
    </row>
    <row r="37">
      <c r="A37" s="20" t="s">
        <v>287</v>
      </c>
      <c r="B37" s="20" t="s">
        <v>289</v>
      </c>
      <c r="C37" s="20" t="s">
        <v>290</v>
      </c>
      <c r="D37" s="20" t="s">
        <v>13</v>
      </c>
    </row>
    <row r="38">
      <c r="A38" s="20" t="s">
        <v>291</v>
      </c>
      <c r="B38" s="20" t="s">
        <v>292</v>
      </c>
      <c r="C38" s="20" t="s">
        <v>293</v>
      </c>
      <c r="D38" s="20" t="s">
        <v>13</v>
      </c>
    </row>
    <row r="39">
      <c r="A39" s="20" t="s">
        <v>295</v>
      </c>
      <c r="B39" s="20" t="s">
        <v>9</v>
      </c>
      <c r="C39" s="20" t="s">
        <v>296</v>
      </c>
      <c r="D39" s="20" t="s">
        <v>13</v>
      </c>
    </row>
  </sheetData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63"/>
    <col customWidth="1" min="4" max="4" width="18.38"/>
    <col customWidth="1" min="5" max="5" width="22.13"/>
    <col customWidth="1" min="6" max="6" width="35.0"/>
  </cols>
  <sheetData>
    <row r="1">
      <c r="A1" s="14" t="s">
        <v>2</v>
      </c>
      <c r="B1" s="14" t="s">
        <v>246</v>
      </c>
      <c r="C1" s="14" t="s">
        <v>248</v>
      </c>
      <c r="D1" s="14" t="s">
        <v>47</v>
      </c>
      <c r="E1" s="37" t="s">
        <v>254</v>
      </c>
      <c r="F1" s="14" t="s">
        <v>257</v>
      </c>
    </row>
    <row r="2">
      <c r="A2" s="20" t="s">
        <v>259</v>
      </c>
      <c r="B2" s="20" t="s">
        <v>262</v>
      </c>
      <c r="C2" s="20" t="s">
        <v>264</v>
      </c>
      <c r="D2" s="20" t="s">
        <v>266</v>
      </c>
      <c r="E2" s="20" t="str">
        <f t="shared" ref="E2:E20" si="1">CONCATENATE(B2," - ",C2)</f>
        <v>Neraca - Aktiva</v>
      </c>
      <c r="F2" s="20" t="str">
        <f t="shared" ref="F2:F20" si="2">CONCATENATE(B2," - ",C2," - ", A2)</f>
        <v>Neraca - Aktiva - Piutang</v>
      </c>
    </row>
    <row r="3">
      <c r="A3" s="20" t="s">
        <v>70</v>
      </c>
      <c r="B3" s="20" t="s">
        <v>262</v>
      </c>
      <c r="C3" s="20" t="s">
        <v>264</v>
      </c>
      <c r="D3" s="20" t="s">
        <v>288</v>
      </c>
      <c r="E3" s="20" t="str">
        <f t="shared" si="1"/>
        <v>Neraca - Aktiva</v>
      </c>
      <c r="F3" s="20" t="str">
        <f t="shared" si="2"/>
        <v>Neraca - Aktiva - Bank dan Tunai</v>
      </c>
    </row>
    <row r="4">
      <c r="A4" s="20" t="s">
        <v>150</v>
      </c>
      <c r="B4" s="20" t="s">
        <v>262</v>
      </c>
      <c r="C4" s="20" t="s">
        <v>264</v>
      </c>
      <c r="D4" s="20" t="s">
        <v>294</v>
      </c>
      <c r="E4" s="20" t="str">
        <f t="shared" si="1"/>
        <v>Neraca - Aktiva</v>
      </c>
      <c r="F4" s="20" t="str">
        <f t="shared" si="2"/>
        <v>Neraca - Aktiva - Aktiva Lancar</v>
      </c>
    </row>
    <row r="5">
      <c r="A5" s="20" t="s">
        <v>297</v>
      </c>
      <c r="B5" s="20" t="s">
        <v>262</v>
      </c>
      <c r="C5" s="20" t="s">
        <v>264</v>
      </c>
      <c r="D5" s="20" t="s">
        <v>298</v>
      </c>
      <c r="E5" s="20" t="str">
        <f t="shared" si="1"/>
        <v>Neraca - Aktiva</v>
      </c>
      <c r="F5" s="20" t="str">
        <f t="shared" si="2"/>
        <v>Neraca - Aktiva - Aktiva Tidak Lancar</v>
      </c>
    </row>
    <row r="6">
      <c r="A6" s="20" t="s">
        <v>299</v>
      </c>
      <c r="B6" s="20" t="s">
        <v>262</v>
      </c>
      <c r="C6" s="20" t="s">
        <v>264</v>
      </c>
      <c r="D6" s="20" t="s">
        <v>300</v>
      </c>
      <c r="E6" s="20" t="str">
        <f t="shared" si="1"/>
        <v>Neraca - Aktiva</v>
      </c>
      <c r="F6" s="20" t="str">
        <f t="shared" si="2"/>
        <v>Neraca - Aktiva - Prabayar</v>
      </c>
    </row>
    <row r="7">
      <c r="A7" s="20" t="s">
        <v>301</v>
      </c>
      <c r="B7" s="20" t="s">
        <v>262</v>
      </c>
      <c r="C7" s="20" t="s">
        <v>264</v>
      </c>
      <c r="D7" s="20" t="s">
        <v>302</v>
      </c>
      <c r="E7" s="20" t="str">
        <f t="shared" si="1"/>
        <v>Neraca - Aktiva</v>
      </c>
      <c r="F7" s="20" t="str">
        <f t="shared" si="2"/>
        <v>Neraca - Aktiva - Aktiva Tetap</v>
      </c>
    </row>
    <row r="8">
      <c r="A8" s="20" t="s">
        <v>303</v>
      </c>
      <c r="B8" s="20" t="s">
        <v>262</v>
      </c>
      <c r="C8" s="20" t="s">
        <v>304</v>
      </c>
      <c r="D8" s="20" t="s">
        <v>305</v>
      </c>
      <c r="E8" s="20" t="str">
        <f t="shared" si="1"/>
        <v>Neraca - Liabilitas</v>
      </c>
      <c r="F8" s="20" t="str">
        <f t="shared" si="2"/>
        <v>Neraca - Liabilitas - Utang</v>
      </c>
    </row>
    <row r="9">
      <c r="A9" s="20" t="s">
        <v>306</v>
      </c>
      <c r="B9" s="20" t="s">
        <v>262</v>
      </c>
      <c r="C9" s="20" t="s">
        <v>304</v>
      </c>
      <c r="D9" s="20" t="s">
        <v>308</v>
      </c>
      <c r="E9" s="20" t="str">
        <f t="shared" si="1"/>
        <v>Neraca - Liabilitas</v>
      </c>
      <c r="F9" s="20" t="str">
        <f t="shared" si="2"/>
        <v>Neraca - Liabilitas - Kartu Kredit</v>
      </c>
    </row>
    <row r="10">
      <c r="A10" s="20" t="s">
        <v>311</v>
      </c>
      <c r="B10" s="20" t="s">
        <v>262</v>
      </c>
      <c r="C10" s="20" t="s">
        <v>304</v>
      </c>
      <c r="D10" s="20" t="s">
        <v>312</v>
      </c>
      <c r="E10" s="20" t="str">
        <f t="shared" si="1"/>
        <v>Neraca - Liabilitas</v>
      </c>
      <c r="F10" s="20" t="str">
        <f t="shared" si="2"/>
        <v>Neraca - Liabilitas - Pasiva Terkini</v>
      </c>
    </row>
    <row r="11">
      <c r="A11" s="20" t="s">
        <v>313</v>
      </c>
      <c r="B11" s="20" t="s">
        <v>262</v>
      </c>
      <c r="C11" s="20" t="s">
        <v>304</v>
      </c>
      <c r="D11" s="20" t="s">
        <v>314</v>
      </c>
      <c r="E11" s="20" t="str">
        <f t="shared" si="1"/>
        <v>Neraca - Liabilitas</v>
      </c>
      <c r="F11" s="20" t="str">
        <f t="shared" si="2"/>
        <v>Neraca - Liabilitas - Hutang Tidak Lancar</v>
      </c>
    </row>
    <row r="12">
      <c r="A12" s="20" t="s">
        <v>316</v>
      </c>
      <c r="B12" s="20" t="s">
        <v>262</v>
      </c>
      <c r="C12" s="20" t="s">
        <v>316</v>
      </c>
      <c r="D12" s="20" t="s">
        <v>318</v>
      </c>
      <c r="E12" s="20" t="str">
        <f t="shared" si="1"/>
        <v>Neraca - Ekuitas</v>
      </c>
      <c r="F12" s="20" t="str">
        <f t="shared" si="2"/>
        <v>Neraca - Ekuitas - Ekuitas</v>
      </c>
    </row>
    <row r="13">
      <c r="A13" s="20" t="s">
        <v>321</v>
      </c>
      <c r="B13" s="20" t="s">
        <v>262</v>
      </c>
      <c r="C13" s="20" t="s">
        <v>316</v>
      </c>
      <c r="D13" s="20" t="s">
        <v>323</v>
      </c>
      <c r="E13" s="20" t="str">
        <f t="shared" si="1"/>
        <v>Neraca - Ekuitas</v>
      </c>
      <c r="F13" s="20" t="str">
        <f t="shared" si="2"/>
        <v>Neraca - Ekuitas - Penghasilan Tahun Terkini</v>
      </c>
    </row>
    <row r="14">
      <c r="A14" s="20" t="s">
        <v>325</v>
      </c>
      <c r="B14" s="20" t="s">
        <v>327</v>
      </c>
      <c r="C14" s="20" t="s">
        <v>325</v>
      </c>
      <c r="D14" s="20" t="s">
        <v>329</v>
      </c>
      <c r="E14" s="20" t="str">
        <f t="shared" si="1"/>
        <v>P&amp;L - Penghasilan</v>
      </c>
      <c r="F14" s="20" t="str">
        <f t="shared" si="2"/>
        <v>P&amp;L - Penghasilan - Penghasilan</v>
      </c>
    </row>
    <row r="15">
      <c r="A15" s="20" t="s">
        <v>333</v>
      </c>
      <c r="B15" s="20" t="s">
        <v>327</v>
      </c>
      <c r="C15" s="20" t="s">
        <v>325</v>
      </c>
      <c r="D15" s="20" t="s">
        <v>335</v>
      </c>
      <c r="E15" s="20" t="str">
        <f t="shared" si="1"/>
        <v>P&amp;L - Penghasilan</v>
      </c>
      <c r="F15" s="20" t="str">
        <f t="shared" si="2"/>
        <v>P&amp;L - Penghasilan - Penghasilan Lainnya</v>
      </c>
    </row>
    <row r="16">
      <c r="A16" s="20" t="s">
        <v>337</v>
      </c>
      <c r="B16" s="20" t="s">
        <v>327</v>
      </c>
      <c r="C16" s="20" t="s">
        <v>337</v>
      </c>
      <c r="D16" s="20" t="s">
        <v>338</v>
      </c>
      <c r="E16" s="20" t="str">
        <f t="shared" si="1"/>
        <v>P&amp;L - Pengeluaran</v>
      </c>
      <c r="F16" s="20" t="str">
        <f t="shared" si="2"/>
        <v>P&amp;L - Pengeluaran - Pengeluaran</v>
      </c>
    </row>
    <row r="17">
      <c r="A17" s="20" t="s">
        <v>340</v>
      </c>
      <c r="B17" s="20" t="s">
        <v>327</v>
      </c>
      <c r="C17" s="20" t="s">
        <v>337</v>
      </c>
      <c r="D17" s="20" t="s">
        <v>342</v>
      </c>
      <c r="E17" s="20" t="str">
        <f t="shared" si="1"/>
        <v>P&amp;L - Pengeluaran</v>
      </c>
      <c r="F17" s="20" t="str">
        <f t="shared" si="2"/>
        <v>P&amp;L - Pengeluaran - Pengeluaran Lainnya</v>
      </c>
    </row>
    <row r="18">
      <c r="A18" s="20" t="s">
        <v>344</v>
      </c>
      <c r="B18" s="20" t="s">
        <v>327</v>
      </c>
      <c r="C18" s="20" t="s">
        <v>337</v>
      </c>
      <c r="D18" s="20" t="s">
        <v>346</v>
      </c>
      <c r="E18" s="20" t="str">
        <f t="shared" si="1"/>
        <v>P&amp;L - Pengeluaran</v>
      </c>
      <c r="F18" s="20" t="str">
        <f t="shared" si="2"/>
        <v>P&amp;L - Pengeluaran - Penyusutan</v>
      </c>
    </row>
    <row r="19">
      <c r="A19" s="20" t="s">
        <v>348</v>
      </c>
      <c r="B19" s="20" t="s">
        <v>327</v>
      </c>
      <c r="C19" s="20" t="s">
        <v>337</v>
      </c>
      <c r="D19" s="20" t="s">
        <v>352</v>
      </c>
      <c r="E19" s="20" t="str">
        <f t="shared" si="1"/>
        <v>P&amp;L - Pengeluaran</v>
      </c>
      <c r="F19" s="20" t="str">
        <f t="shared" si="2"/>
        <v>P&amp;L - Pengeluaran - Biaya Pendapatan</v>
      </c>
    </row>
    <row r="20">
      <c r="A20" s="20" t="s">
        <v>355</v>
      </c>
      <c r="B20" s="20" t="s">
        <v>327</v>
      </c>
      <c r="C20" s="20" t="s">
        <v>356</v>
      </c>
      <c r="D20" s="20" t="s">
        <v>357</v>
      </c>
      <c r="E20" s="20" t="str">
        <f t="shared" si="1"/>
        <v>P&amp;L - Lainnya</v>
      </c>
      <c r="F20" s="20" t="str">
        <f t="shared" si="2"/>
        <v>P&amp;L - Lainnya - Off-Balance Sheet</v>
      </c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7.38"/>
    <col customWidth="1" min="2" max="2" width="11.38"/>
    <col customWidth="1" min="3" max="3" width="10.38"/>
    <col customWidth="1" min="4" max="4" width="17.13"/>
    <col customWidth="1" min="5" max="5" width="20.38"/>
  </cols>
  <sheetData>
    <row r="1">
      <c r="A1" s="14" t="s">
        <v>39</v>
      </c>
      <c r="B1" s="14" t="s">
        <v>71</v>
      </c>
      <c r="C1" s="14" t="s">
        <v>315</v>
      </c>
      <c r="D1" s="14" t="s">
        <v>317</v>
      </c>
      <c r="E1" s="14" t="s">
        <v>2</v>
      </c>
    </row>
    <row r="2">
      <c r="A2" s="20" t="s">
        <v>319</v>
      </c>
      <c r="B2" s="20">
        <v>0.0</v>
      </c>
      <c r="C2" s="20" t="s">
        <v>320</v>
      </c>
      <c r="D2" s="20" t="s">
        <v>266</v>
      </c>
      <c r="E2" s="20" t="s">
        <v>259</v>
      </c>
    </row>
    <row r="3">
      <c r="A3" s="20" t="s">
        <v>322</v>
      </c>
      <c r="B3" s="20">
        <v>1.0</v>
      </c>
      <c r="C3" s="20" t="s">
        <v>320</v>
      </c>
      <c r="D3" s="20" t="s">
        <v>288</v>
      </c>
      <c r="E3" s="20" t="s">
        <v>70</v>
      </c>
    </row>
    <row r="4">
      <c r="A4" s="20" t="s">
        <v>324</v>
      </c>
      <c r="B4" s="20">
        <v>2.0</v>
      </c>
      <c r="C4" s="20" t="s">
        <v>320</v>
      </c>
      <c r="D4" s="20" t="s">
        <v>294</v>
      </c>
      <c r="E4" s="20" t="s">
        <v>150</v>
      </c>
    </row>
    <row r="5">
      <c r="A5" s="20" t="s">
        <v>330</v>
      </c>
      <c r="B5" s="20">
        <v>3.0</v>
      </c>
      <c r="C5" s="20" t="s">
        <v>320</v>
      </c>
      <c r="D5" s="20" t="s">
        <v>298</v>
      </c>
      <c r="E5" s="20" t="s">
        <v>297</v>
      </c>
    </row>
    <row r="6">
      <c r="A6" s="20" t="s">
        <v>332</v>
      </c>
      <c r="B6" s="20">
        <v>4.0</v>
      </c>
      <c r="C6" s="20" t="s">
        <v>320</v>
      </c>
      <c r="D6" s="20" t="s">
        <v>300</v>
      </c>
      <c r="E6" s="20" t="s">
        <v>299</v>
      </c>
    </row>
    <row r="7">
      <c r="A7" s="20" t="s">
        <v>334</v>
      </c>
      <c r="B7" s="20">
        <v>5.0</v>
      </c>
      <c r="C7" s="20" t="s">
        <v>320</v>
      </c>
      <c r="D7" s="20" t="s">
        <v>302</v>
      </c>
      <c r="E7" s="20" t="s">
        <v>301</v>
      </c>
    </row>
    <row r="8">
      <c r="A8" s="20" t="s">
        <v>336</v>
      </c>
      <c r="B8" s="20">
        <v>6.0</v>
      </c>
      <c r="C8" s="20" t="s">
        <v>320</v>
      </c>
      <c r="D8" s="20" t="s">
        <v>305</v>
      </c>
      <c r="E8" s="20" t="s">
        <v>303</v>
      </c>
    </row>
    <row r="9">
      <c r="A9" s="20" t="s">
        <v>339</v>
      </c>
      <c r="B9" s="20">
        <v>7.0</v>
      </c>
      <c r="C9" s="20" t="s">
        <v>320</v>
      </c>
      <c r="D9" s="20" t="s">
        <v>308</v>
      </c>
      <c r="E9" s="20" t="s">
        <v>306</v>
      </c>
    </row>
    <row r="10">
      <c r="A10" s="20" t="s">
        <v>341</v>
      </c>
      <c r="B10" s="20">
        <v>8.0</v>
      </c>
      <c r="C10" s="20" t="s">
        <v>320</v>
      </c>
      <c r="D10" s="20" t="s">
        <v>312</v>
      </c>
      <c r="E10" s="20" t="s">
        <v>311</v>
      </c>
    </row>
    <row r="11">
      <c r="A11" s="20" t="s">
        <v>343</v>
      </c>
      <c r="B11" s="20">
        <v>9.0</v>
      </c>
      <c r="C11" s="20" t="s">
        <v>320</v>
      </c>
      <c r="D11" s="20" t="s">
        <v>314</v>
      </c>
      <c r="E11" s="20" t="s">
        <v>313</v>
      </c>
    </row>
    <row r="12">
      <c r="A12" s="20" t="s">
        <v>347</v>
      </c>
      <c r="B12" s="20">
        <v>10.0</v>
      </c>
      <c r="C12" s="20" t="s">
        <v>320</v>
      </c>
      <c r="D12" s="20" t="s">
        <v>318</v>
      </c>
      <c r="E12" s="20" t="s">
        <v>316</v>
      </c>
    </row>
    <row r="13">
      <c r="A13" s="20" t="s">
        <v>350</v>
      </c>
      <c r="B13" s="20">
        <v>11.0</v>
      </c>
      <c r="C13" s="20" t="s">
        <v>320</v>
      </c>
      <c r="D13" s="20" t="s">
        <v>323</v>
      </c>
      <c r="E13" s="20" t="s">
        <v>321</v>
      </c>
    </row>
    <row r="14">
      <c r="A14" s="20" t="s">
        <v>354</v>
      </c>
      <c r="B14" s="20">
        <v>12.0</v>
      </c>
      <c r="C14" s="20" t="s">
        <v>320</v>
      </c>
      <c r="D14" s="20" t="s">
        <v>329</v>
      </c>
      <c r="E14" s="20" t="s">
        <v>325</v>
      </c>
    </row>
    <row r="15">
      <c r="A15" s="20" t="s">
        <v>358</v>
      </c>
      <c r="B15" s="20">
        <v>13.0</v>
      </c>
      <c r="C15" s="20" t="s">
        <v>320</v>
      </c>
      <c r="D15" s="20" t="s">
        <v>335</v>
      </c>
      <c r="E15" s="20" t="s">
        <v>333</v>
      </c>
    </row>
    <row r="16">
      <c r="A16" s="20" t="s">
        <v>359</v>
      </c>
      <c r="B16" s="20">
        <v>14.0</v>
      </c>
      <c r="C16" s="20" t="s">
        <v>320</v>
      </c>
      <c r="D16" s="20" t="s">
        <v>338</v>
      </c>
      <c r="E16" s="20" t="s">
        <v>337</v>
      </c>
    </row>
    <row r="17">
      <c r="A17" s="20" t="s">
        <v>360</v>
      </c>
      <c r="B17" s="20">
        <v>15.0</v>
      </c>
      <c r="C17" s="20" t="s">
        <v>320</v>
      </c>
      <c r="D17" s="20" t="s">
        <v>342</v>
      </c>
      <c r="E17" s="20" t="s">
        <v>340</v>
      </c>
    </row>
    <row r="18">
      <c r="A18" s="20" t="s">
        <v>361</v>
      </c>
      <c r="B18" s="20">
        <v>16.0</v>
      </c>
      <c r="C18" s="20" t="s">
        <v>320</v>
      </c>
      <c r="D18" s="20" t="s">
        <v>346</v>
      </c>
      <c r="E18" s="20" t="s">
        <v>344</v>
      </c>
    </row>
    <row r="19">
      <c r="A19" s="20" t="s">
        <v>362</v>
      </c>
      <c r="B19" s="20">
        <v>17.0</v>
      </c>
      <c r="C19" s="20" t="s">
        <v>320</v>
      </c>
      <c r="D19" s="20" t="s">
        <v>352</v>
      </c>
      <c r="E19" s="20" t="s">
        <v>348</v>
      </c>
    </row>
    <row r="20">
      <c r="A20" s="20" t="s">
        <v>363</v>
      </c>
      <c r="B20" s="20">
        <v>18.0</v>
      </c>
      <c r="C20" s="20" t="s">
        <v>320</v>
      </c>
      <c r="D20" s="20" t="s">
        <v>357</v>
      </c>
      <c r="E20" s="20" t="s">
        <v>355</v>
      </c>
    </row>
  </sheetData>
  <drawing r:id="rId1"/>
  <tableParts count="1">
    <tablePart r:id="rId3"/>
  </tableParts>
</worksheet>
</file>